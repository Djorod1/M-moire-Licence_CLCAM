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F9F30B98-25EA-427A-B15E-EEEC9967B532}" xr6:coauthVersionLast="47" xr6:coauthVersionMax="47" xr10:uidLastSave="{00000000-0000-0000-0000-000000000000}"/>
  <bookViews>
    <workbookView xWindow="-120" yWindow="-120" windowWidth="20730" windowHeight="11040" firstSheet="1" activeTab="7" xr2:uid="{00000000-000D-0000-FFFF-FFFF00000000}"/>
  </bookViews>
  <sheets>
    <sheet name="Feuil1" sheetId="2" r:id="rId1"/>
    <sheet name="Feuil2" sheetId="3" r:id="rId2"/>
    <sheet name="Feuil4" sheetId="5" r:id="rId3"/>
    <sheet name="Feuil3" sheetId="4" r:id="rId4"/>
    <sheet name="Feuil5" sheetId="6" r:id="rId5"/>
    <sheet name="Nawa et Trinité" sheetId="1" r:id="rId6"/>
    <sheet name="Feuil6" sheetId="10" r:id="rId7"/>
    <sheet name="Feuil9" sheetId="11" r:id="rId8"/>
    <sheet name="Feuil7" sheetId="8" r:id="rId9"/>
    <sheet name="Feuil8" sheetId="9" r:id="rId10"/>
  </sheets>
  <definedNames>
    <definedName name="_xlnm._FilterDatabase" localSheetId="5" hidden="1">'Nawa et Trinité'!$A$1:$AD$103</definedName>
  </definedNames>
  <calcPr calcId="191029"/>
  <pivotCaches>
    <pivotCache cacheId="0" r:id="rId11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</calcChain>
</file>

<file path=xl/sharedStrings.xml><?xml version="1.0" encoding="utf-8"?>
<sst xmlns="http://schemas.openxmlformats.org/spreadsheetml/2006/main" count="552" uniqueCount="187">
  <si>
    <t>id</t>
  </si>
  <si>
    <t>age</t>
  </si>
  <si>
    <t>niv_inst</t>
  </si>
  <si>
    <t>act_prin</t>
  </si>
  <si>
    <t>situ_mat</t>
  </si>
  <si>
    <t>typ_cred</t>
  </si>
  <si>
    <t>con_cred</t>
  </si>
  <si>
    <t>dur_cred</t>
  </si>
  <si>
    <t>cond_acc</t>
  </si>
  <si>
    <t>Mont_cre</t>
  </si>
  <si>
    <t>cond_oct</t>
  </si>
  <si>
    <t>dif_ren</t>
  </si>
  <si>
    <t>prec_dif</t>
  </si>
  <si>
    <t>for_reçu</t>
  </si>
  <si>
    <t>aug_rev</t>
  </si>
  <si>
    <t>dév_act</t>
  </si>
  <si>
    <t>epar_cred</t>
  </si>
  <si>
    <t>aut_cred</t>
  </si>
  <si>
    <t>acc_sfin</t>
  </si>
  <si>
    <t>out_digi</t>
  </si>
  <si>
    <t>prec_out</t>
  </si>
  <si>
    <t>micro_dis</t>
  </si>
  <si>
    <t>form_out</t>
  </si>
  <si>
    <t>intro_out</t>
  </si>
  <si>
    <t>util_cred_educ</t>
  </si>
  <si>
    <t>util_cred_sante</t>
  </si>
  <si>
    <t>util_cred_logement</t>
  </si>
  <si>
    <t>age_reg</t>
  </si>
  <si>
    <t>Étiquettes de lignes</t>
  </si>
  <si>
    <t>18-25 ans</t>
  </si>
  <si>
    <t>26-35 ans</t>
  </si>
  <si>
    <t>36-45 ans</t>
  </si>
  <si>
    <t>46 ans et +</t>
  </si>
  <si>
    <t>Total général</t>
  </si>
  <si>
    <t>Étiquettes de colonnes</t>
  </si>
  <si>
    <t>Nombre de id</t>
  </si>
  <si>
    <t>Effectifs</t>
  </si>
  <si>
    <t>Tranche d'âge</t>
  </si>
  <si>
    <t>Pourcentages</t>
  </si>
  <si>
    <t>Agriculture</t>
  </si>
  <si>
    <t>Commerce</t>
  </si>
  <si>
    <t>Artisanat</t>
  </si>
  <si>
    <t>Elévege</t>
  </si>
  <si>
    <t>Activité principale</t>
  </si>
  <si>
    <t>Effectif</t>
  </si>
  <si>
    <t>Pourcentage</t>
  </si>
  <si>
    <t>Mariée</t>
  </si>
  <si>
    <t>Célibataire</t>
  </si>
  <si>
    <t>Veuve/Divorcée</t>
  </si>
  <si>
    <t>Situation Matrimoniale</t>
  </si>
  <si>
    <t>Moins d'un an</t>
  </si>
  <si>
    <t xml:space="preserve">Un an à trois ans </t>
  </si>
  <si>
    <t>Ancienneté</t>
  </si>
  <si>
    <t xml:space="preserve">Quatre ans à six ans </t>
  </si>
  <si>
    <t>Plus de sept ans</t>
  </si>
  <si>
    <t>Aucun</t>
  </si>
  <si>
    <t>Primaire</t>
  </si>
  <si>
    <t>Secondaire</t>
  </si>
  <si>
    <t>Niveau d'instruction</t>
  </si>
  <si>
    <t>Supérieur</t>
  </si>
  <si>
    <t>Trance d'âge</t>
  </si>
  <si>
    <t>Crédit  Epargne Education</t>
  </si>
  <si>
    <t>Toit Petit crédit accordé aus Femmes</t>
  </si>
  <si>
    <t>Total</t>
  </si>
  <si>
    <t>Type de Crédit</t>
  </si>
  <si>
    <t/>
  </si>
  <si>
    <t>Votre zone d'habitation</t>
  </si>
  <si>
    <t>Goutere</t>
  </si>
  <si>
    <t>Gounourou</t>
  </si>
  <si>
    <t>Gounin</t>
  </si>
  <si>
    <t>Bakperou</t>
  </si>
  <si>
    <t>Sano</t>
  </si>
  <si>
    <t>Aérou</t>
  </si>
  <si>
    <t>Sérarou</t>
  </si>
  <si>
    <t>Kontoubarou</t>
  </si>
  <si>
    <t>Kpari</t>
  </si>
  <si>
    <t>Sébou</t>
  </si>
  <si>
    <t>Fréquences</t>
  </si>
  <si>
    <t>Pourcentage validé</t>
  </si>
  <si>
    <t>Pourcentage Cumiulé</t>
  </si>
  <si>
    <t>Valide</t>
  </si>
  <si>
    <t xml:space="preserve">Taux d'intérêt élevé </t>
  </si>
  <si>
    <t>Délai long</t>
  </si>
  <si>
    <t>Montant faible</t>
  </si>
  <si>
    <t>Procédure compliquée</t>
  </si>
  <si>
    <t xml:space="preserve"> Montant faible</t>
  </si>
  <si>
    <t>Difficulté</t>
  </si>
  <si>
    <t>Taux de citation</t>
  </si>
  <si>
    <t>141,4 %</t>
  </si>
  <si>
    <t>Taux d’intérêt élevé</t>
  </si>
  <si>
    <t>55,2 %</t>
  </si>
  <si>
    <t>Montant insuffisant</t>
  </si>
  <si>
    <t>34,5 %</t>
  </si>
  <si>
    <t>20,7 %</t>
  </si>
  <si>
    <t>Indicateur d’impact</t>
  </si>
  <si>
    <t>Oui</t>
  </si>
  <si>
    <t>Non</t>
  </si>
  <si>
    <t>Amélioration des conditions de vie : Santé</t>
  </si>
  <si>
    <t>Amélioration des conditions de vie : Activités génératrices de revenus</t>
  </si>
  <si>
    <t>Amélioration des conditions de vie : logement</t>
  </si>
  <si>
    <t>Amélioration des conditions de vie : Education</t>
  </si>
  <si>
    <t>Augmentation des revenus (aug_rev)</t>
  </si>
  <si>
    <t>Réalisation d’une épargne (epar_cred)</t>
  </si>
  <si>
    <t>Développement d’une activité économique (dev_act)</t>
  </si>
  <si>
    <t>Augmenté</t>
  </si>
  <si>
    <t>Légèrement augmenté</t>
  </si>
  <si>
    <t xml:space="preserve">Stable </t>
  </si>
  <si>
    <t>Dimunié</t>
  </si>
  <si>
    <t>Régulièrement</t>
  </si>
  <si>
    <t>Parfois</t>
  </si>
  <si>
    <t xml:space="preserve">Pourcentage </t>
  </si>
  <si>
    <t>Modalités</t>
  </si>
  <si>
    <t>Votre autonomie fianancière * Votre niveau d'instruction Crosstabulation</t>
  </si>
  <si>
    <t>Votre niveau d'instruction</t>
  </si>
  <si>
    <t>Votre autonomie fianancière</t>
  </si>
  <si>
    <t>non</t>
  </si>
  <si>
    <t>oui</t>
  </si>
  <si>
    <t>a. 0 cells (0.0%) have expected count less than 5. The minimum expected count is 6.08.</t>
  </si>
  <si>
    <r>
      <t>4.666</t>
    </r>
    <r>
      <rPr>
        <b/>
        <vertAlign val="superscript"/>
        <sz val="10"/>
        <rFont val="Times New Roman"/>
        <family val="1"/>
      </rPr>
      <t>a</t>
    </r>
  </si>
  <si>
    <t>Test du khi-deux</t>
  </si>
  <si>
    <t>Khi-deux de Pearson</t>
  </si>
  <si>
    <t xml:space="preserve">Rapport de Vraisemblance </t>
  </si>
  <si>
    <t>Association linéaire par linéaire</t>
  </si>
  <si>
    <t>Nombre d'observations valides</t>
  </si>
  <si>
    <t>Valeur</t>
  </si>
  <si>
    <t>ddl</t>
  </si>
  <si>
    <t>Signification asymptotique (bilatérale)</t>
  </si>
  <si>
    <t>Nom</t>
  </si>
  <si>
    <t>Distance</t>
  </si>
  <si>
    <t>Goutère</t>
  </si>
  <si>
    <t>9,4 km</t>
  </si>
  <si>
    <t>18 km</t>
  </si>
  <si>
    <t>79 km</t>
  </si>
  <si>
    <t>16 km</t>
  </si>
  <si>
    <t>Bapkerou</t>
  </si>
  <si>
    <t>176 km</t>
  </si>
  <si>
    <t>Sanro</t>
  </si>
  <si>
    <t>12 km</t>
  </si>
  <si>
    <t>Arérou</t>
  </si>
  <si>
    <t>15 km</t>
  </si>
  <si>
    <t>29 km</t>
  </si>
  <si>
    <t>31 km</t>
  </si>
  <si>
    <t>34 km</t>
  </si>
  <si>
    <t>Accès aux services financiers</t>
  </si>
  <si>
    <t>Utilisation des outils digitaux</t>
  </si>
  <si>
    <t>Gérer votre microcrédit à distance</t>
  </si>
  <si>
    <t>Précision de la cause du non utilisation des outils digitaux</t>
  </si>
  <si>
    <t>Manque de formation</t>
  </si>
  <si>
    <t>Absence d'accès à la technologie</t>
  </si>
  <si>
    <t>Préférence pour le contact humain</t>
  </si>
  <si>
    <t>Autres</t>
  </si>
  <si>
    <t>Formation à l'utilisation des outils digitaux</t>
  </si>
  <si>
    <t>Introduction d'outil numérique</t>
  </si>
  <si>
    <t>N of Valid Cases</t>
  </si>
  <si>
    <t>a. 0 cells (0.0%) have expected count less than 5. The minimum expected count is 9.90.</t>
  </si>
  <si>
    <t>b. Computed only for a 2x2 table</t>
  </si>
  <si>
    <t>Constant</t>
  </si>
  <si>
    <r>
      <t>Step 1</t>
    </r>
    <r>
      <rPr>
        <vertAlign val="superscript"/>
        <sz val="9"/>
        <color indexed="62"/>
        <rFont val="Arial"/>
        <family val="2"/>
      </rPr>
      <t>a</t>
    </r>
  </si>
  <si>
    <t xml:space="preserve">Variables explicatives </t>
  </si>
  <si>
    <t>Bêta</t>
  </si>
  <si>
    <t>Erreur Standard</t>
  </si>
  <si>
    <t>Statistique de Wald</t>
  </si>
  <si>
    <t>Significativité (p-value)</t>
  </si>
  <si>
    <t>Odds Ratio</t>
  </si>
  <si>
    <t xml:space="preserve"> Borne inférieure</t>
  </si>
  <si>
    <t>Intervalle de confiance à 95 %</t>
  </si>
  <si>
    <t>Bonne Supérieure</t>
  </si>
  <si>
    <r>
      <t>.002</t>
    </r>
    <r>
      <rPr>
        <vertAlign val="superscript"/>
        <sz val="12"/>
        <rFont val="Times New Roman"/>
        <family val="1"/>
      </rPr>
      <t>a</t>
    </r>
  </si>
  <si>
    <t>a. 0 cells (0.0%) have expected count less than 5. The minimum expected count is 14.08.</t>
  </si>
  <si>
    <r>
      <t>.158</t>
    </r>
    <r>
      <rPr>
        <vertAlign val="superscript"/>
        <sz val="9"/>
        <rFont val="Times New Roman"/>
        <family val="1"/>
      </rPr>
      <t>a</t>
    </r>
  </si>
  <si>
    <t>Montant du microcrédit</t>
  </si>
  <si>
    <t>Augmentation de vos revenu après obtention du microcrédit</t>
  </si>
  <si>
    <t>Epargne depuis l'obtention du microcrédit</t>
  </si>
  <si>
    <t>a. Variable(s) entered on step 1: Montant du microcrédit, Votre niveau d'instruction, Augmentation de vos revenu après obtention du microcrédit, Epargne depuis l'obtention du microcrédit, Utilisation des outils digitaux.</t>
  </si>
  <si>
    <t>Autonomie globale (aut_cred)</t>
  </si>
  <si>
    <t>Tests du khi-deux</t>
  </si>
  <si>
    <t>a. 12 cells (60.0%) have expected count less than 5. The minimum expected count is 1.08.</t>
  </si>
  <si>
    <r>
      <t>14.576</t>
    </r>
    <r>
      <rPr>
        <vertAlign val="superscript"/>
        <sz val="12"/>
        <color indexed="60"/>
        <rFont val="Times New Roman"/>
        <family val="1"/>
      </rPr>
      <t>a</t>
    </r>
  </si>
  <si>
    <t>a. 12 cells (60.0%) have expected count less than 5. The minimum expected count is 1.44.</t>
  </si>
  <si>
    <r>
      <t>6.603</t>
    </r>
    <r>
      <rPr>
        <vertAlign val="superscript"/>
        <sz val="12"/>
        <rFont val="Times New Roman"/>
        <family val="1"/>
      </rPr>
      <t>a</t>
    </r>
  </si>
  <si>
    <t>a. 7 cells (46.7%) have expected count less than 5. The minimum expected count is 2.28.</t>
  </si>
  <si>
    <r>
      <t>5.274</t>
    </r>
    <r>
      <rPr>
        <vertAlign val="superscript"/>
        <sz val="11"/>
        <color indexed="60"/>
        <rFont val="Times New Roman"/>
        <family val="1"/>
      </rPr>
      <t>a</t>
    </r>
  </si>
  <si>
    <t xml:space="preserve">Formation reçu avant l'octroi du microcrédit					
		Frequency	Percent	Valid Percent	Cumulative Percent
Valid	non	12	12.0	12.0	12.0
	oui	88	88.0	88.0	100.0
	Total	100	100.0	100.0	
</t>
  </si>
  <si>
    <t>Formation reçu avant l'octroi du microcrédit</t>
  </si>
  <si>
    <t>Type de microcrédit</t>
  </si>
  <si>
    <t>Augmentation de vos revenus</t>
  </si>
  <si>
    <t>votre activité principale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</si>
</sst>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"/>
    <numFmt numFmtId="165" formatCode="###0.0"/>
    <numFmt numFmtId="166" formatCode="###0.0%"/>
    <numFmt numFmtId="167" formatCode="###0.000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indexed="60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vertAlign val="superscript"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404040"/>
      <name val="Segoe UI"/>
      <family val="2"/>
    </font>
    <font>
      <sz val="11"/>
      <color rgb="FF404040"/>
      <name val="Segoe UI"/>
      <family val="2"/>
    </font>
    <font>
      <sz val="10"/>
      <name val="Arial"/>
      <family val="2"/>
    </font>
    <font>
      <b/>
      <sz val="11"/>
      <color indexed="60"/>
      <name val="Arial Bold"/>
    </font>
    <font>
      <b/>
      <sz val="11"/>
      <color indexed="60"/>
      <name val="Times New Roman"/>
      <family val="1"/>
    </font>
    <font>
      <sz val="11"/>
      <color indexed="6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9"/>
      <color indexed="62"/>
      <name val="Arial"/>
      <family val="2"/>
    </font>
    <font>
      <sz val="9"/>
      <color indexed="60"/>
      <name val="Arial"/>
      <family val="2"/>
    </font>
    <font>
      <sz val="10"/>
      <name val="Times New Roman"/>
      <family val="1"/>
    </font>
    <font>
      <vertAlign val="superscript"/>
      <sz val="9"/>
      <color indexed="62"/>
      <name val="Arial"/>
      <family val="2"/>
    </font>
    <font>
      <vertAlign val="superscript"/>
      <sz val="12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9"/>
      <name val="Times New Roman"/>
      <family val="1"/>
    </font>
    <font>
      <vertAlign val="superscript"/>
      <sz val="9"/>
      <name val="Times New Roman"/>
      <family val="1"/>
    </font>
    <font>
      <vertAlign val="superscript"/>
      <sz val="11"/>
      <color indexed="60"/>
      <name val="Times New Roman"/>
      <family val="1"/>
    </font>
    <font>
      <sz val="12"/>
      <color rgb="FF000000"/>
      <name val="Times New Roman"/>
      <family val="1"/>
    </font>
    <font>
      <sz val="12"/>
      <color indexed="60"/>
      <name val="Times New Roman"/>
      <family val="1"/>
    </font>
    <font>
      <vertAlign val="superscript"/>
      <sz val="12"/>
      <color indexed="60"/>
      <name val="Times New Roman"/>
      <family val="1"/>
    </font>
    <font>
      <sz val="10"/>
      <name val="Arial"/>
    </font>
    <font>
      <sz val="9"/>
      <color indexed="60"/>
      <name val="Arial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BBBBBB"/>
      </bottom>
      <diagonal/>
    </border>
    <border>
      <left/>
      <right/>
      <top/>
      <bottom style="medium">
        <color rgb="FFE5E5E5"/>
      </bottom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8" fillId="0" borderId="0"/>
    <xf numFmtId="0" fontId="8" fillId="0" borderId="0"/>
    <xf numFmtId="0" fontId="18" fillId="0" borderId="0"/>
    <xf numFmtId="0" fontId="8" fillId="0" borderId="0"/>
    <xf numFmtId="0" fontId="8" fillId="0" borderId="0"/>
    <xf numFmtId="0" fontId="37" fillId="0" borderId="0"/>
  </cellStyleXfs>
  <cellXfs count="204">
    <xf numFmtId="0" fontId="0" fillId="0" borderId="0" xfId="0"/>
    <xf numFmtId="1" fontId="0" fillId="0" borderId="0" xfId="0" applyNumberFormat="1"/>
    <xf numFmtId="0" fontId="0" fillId="0" borderId="0" xfId="0" pivotButton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9" fontId="0" fillId="0" borderId="0" xfId="1" applyFont="1"/>
    <xf numFmtId="0" fontId="3" fillId="0" borderId="1" xfId="0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0" fontId="8" fillId="0" borderId="0" xfId="2"/>
    <xf numFmtId="0" fontId="9" fillId="2" borderId="1" xfId="2" applyFont="1" applyFill="1" applyBorder="1" applyAlignment="1">
      <alignment horizontal="center" vertical="center" wrapText="1"/>
    </xf>
    <xf numFmtId="164" fontId="10" fillId="4" borderId="1" xfId="2" applyNumberFormat="1" applyFont="1" applyFill="1" applyBorder="1" applyAlignment="1">
      <alignment horizontal="center" vertical="center"/>
    </xf>
    <xf numFmtId="165" fontId="10" fillId="4" borderId="1" xfId="2" applyNumberFormat="1" applyFont="1" applyFill="1" applyBorder="1" applyAlignment="1">
      <alignment horizontal="center" vertical="center"/>
    </xf>
    <xf numFmtId="0" fontId="10" fillId="4" borderId="1" xfId="2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9" fontId="4" fillId="0" borderId="1" xfId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0" fillId="0" borderId="0" xfId="3" applyFont="1" applyAlignment="1">
      <alignment horizontal="center" vertical="center"/>
    </xf>
    <xf numFmtId="0" fontId="9" fillId="2" borderId="1" xfId="3" applyFont="1" applyFill="1" applyBorder="1" applyAlignment="1">
      <alignment horizontal="center" vertical="center" wrapText="1"/>
    </xf>
    <xf numFmtId="164" fontId="10" fillId="4" borderId="1" xfId="3" applyNumberFormat="1" applyFont="1" applyFill="1" applyBorder="1" applyAlignment="1">
      <alignment horizontal="center" vertical="center"/>
    </xf>
    <xf numFmtId="166" fontId="10" fillId="4" borderId="1" xfId="3" applyNumberFormat="1" applyFont="1" applyFill="1" applyBorder="1" applyAlignment="1">
      <alignment horizontal="center" vertical="center"/>
    </xf>
    <xf numFmtId="0" fontId="11" fillId="0" borderId="0" xfId="3" applyFont="1"/>
    <xf numFmtId="0" fontId="14" fillId="6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1" fillId="4" borderId="2" xfId="3" applyFont="1" applyFill="1" applyBorder="1" applyAlignment="1">
      <alignment horizontal="center" vertical="center"/>
    </xf>
    <xf numFmtId="164" fontId="11" fillId="4" borderId="2" xfId="3" applyNumberFormat="1" applyFont="1" applyFill="1" applyBorder="1" applyAlignment="1">
      <alignment horizontal="center" vertical="center"/>
    </xf>
    <xf numFmtId="167" fontId="11" fillId="4" borderId="2" xfId="3" applyNumberFormat="1" applyFont="1" applyFill="1" applyBorder="1" applyAlignment="1">
      <alignment horizontal="center" vertical="center"/>
    </xf>
    <xf numFmtId="0" fontId="11" fillId="4" borderId="2" xfId="3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left" vertical="center" wrapText="1" indent="1"/>
    </xf>
    <xf numFmtId="0" fontId="17" fillId="7" borderId="4" xfId="0" applyFont="1" applyFill="1" applyBorder="1" applyAlignment="1">
      <alignment horizontal="left" vertical="center" wrapText="1" indent="1"/>
    </xf>
    <xf numFmtId="0" fontId="23" fillId="2" borderId="17" xfId="4" applyFont="1" applyFill="1" applyBorder="1" applyAlignment="1">
      <alignment horizontal="center" vertical="center" wrapText="1"/>
    </xf>
    <xf numFmtId="164" fontId="23" fillId="4" borderId="17" xfId="4" applyNumberFormat="1" applyFont="1" applyFill="1" applyBorder="1" applyAlignment="1">
      <alignment horizontal="center" vertical="center"/>
    </xf>
    <xf numFmtId="9" fontId="23" fillId="4" borderId="17" xfId="1" applyFont="1" applyFill="1" applyBorder="1" applyAlignment="1">
      <alignment horizontal="center" vertical="center"/>
    </xf>
    <xf numFmtId="0" fontId="8" fillId="0" borderId="0" xfId="5"/>
    <xf numFmtId="0" fontId="24" fillId="0" borderId="6" xfId="5" applyFont="1" applyBorder="1" applyAlignment="1">
      <alignment horizontal="center" wrapText="1"/>
    </xf>
    <xf numFmtId="0" fontId="24" fillId="0" borderId="7" xfId="5" applyFont="1" applyBorder="1" applyAlignment="1">
      <alignment horizontal="center" wrapText="1"/>
    </xf>
    <xf numFmtId="0" fontId="24" fillId="8" borderId="8" xfId="5" applyFont="1" applyFill="1" applyBorder="1" applyAlignment="1">
      <alignment horizontal="left" vertical="top" wrapText="1"/>
    </xf>
    <xf numFmtId="164" fontId="25" fillId="4" borderId="9" xfId="5" applyNumberFormat="1" applyFont="1" applyFill="1" applyBorder="1" applyAlignment="1">
      <alignment horizontal="right" vertical="top"/>
    </xf>
    <xf numFmtId="165" fontId="25" fillId="4" borderId="10" xfId="5" applyNumberFormat="1" applyFont="1" applyFill="1" applyBorder="1" applyAlignment="1">
      <alignment horizontal="right" vertical="top"/>
    </xf>
    <xf numFmtId="0" fontId="24" fillId="8" borderId="11" xfId="5" applyFont="1" applyFill="1" applyBorder="1" applyAlignment="1">
      <alignment horizontal="left" vertical="top" wrapText="1"/>
    </xf>
    <xf numFmtId="164" fontId="25" fillId="4" borderId="12" xfId="5" applyNumberFormat="1" applyFont="1" applyFill="1" applyBorder="1" applyAlignment="1">
      <alignment horizontal="right" vertical="top"/>
    </xf>
    <xf numFmtId="165" fontId="25" fillId="4" borderId="13" xfId="5" applyNumberFormat="1" applyFont="1" applyFill="1" applyBorder="1" applyAlignment="1">
      <alignment horizontal="right" vertical="top"/>
    </xf>
    <xf numFmtId="0" fontId="24" fillId="8" borderId="14" xfId="5" applyFont="1" applyFill="1" applyBorder="1" applyAlignment="1">
      <alignment horizontal="left" vertical="top" wrapText="1"/>
    </xf>
    <xf numFmtId="164" fontId="25" fillId="4" borderId="15" xfId="5" applyNumberFormat="1" applyFont="1" applyFill="1" applyBorder="1" applyAlignment="1">
      <alignment horizontal="right" vertical="top"/>
    </xf>
    <xf numFmtId="165" fontId="25" fillId="4" borderId="16" xfId="5" applyNumberFormat="1" applyFont="1" applyFill="1" applyBorder="1" applyAlignment="1">
      <alignment horizontal="right" vertical="top"/>
    </xf>
    <xf numFmtId="164" fontId="23" fillId="4" borderId="17" xfId="5" applyNumberFormat="1" applyFont="1" applyFill="1" applyBorder="1" applyAlignment="1">
      <alignment horizontal="center" vertical="center"/>
    </xf>
    <xf numFmtId="9" fontId="25" fillId="4" borderId="10" xfId="1" applyFont="1" applyFill="1" applyBorder="1" applyAlignment="1">
      <alignment horizontal="right" vertical="top"/>
    </xf>
    <xf numFmtId="9" fontId="25" fillId="4" borderId="13" xfId="1" applyFont="1" applyFill="1" applyBorder="1" applyAlignment="1">
      <alignment horizontal="right" vertical="top"/>
    </xf>
    <xf numFmtId="9" fontId="25" fillId="4" borderId="16" xfId="1" applyFont="1" applyFill="1" applyBorder="1" applyAlignment="1">
      <alignment horizontal="right" vertical="top"/>
    </xf>
    <xf numFmtId="0" fontId="23" fillId="2" borderId="17" xfId="4" applyFont="1" applyFill="1" applyBorder="1" applyAlignment="1">
      <alignment vertical="center" wrapText="1"/>
    </xf>
    <xf numFmtId="0" fontId="24" fillId="8" borderId="8" xfId="5" applyFont="1" applyFill="1" applyBorder="1" applyAlignment="1">
      <alignment vertical="top" wrapText="1"/>
    </xf>
    <xf numFmtId="0" fontId="24" fillId="8" borderId="11" xfId="5" applyFont="1" applyFill="1" applyBorder="1" applyAlignment="1">
      <alignment vertical="top" wrapText="1"/>
    </xf>
    <xf numFmtId="0" fontId="24" fillId="8" borderId="14" xfId="5" applyFont="1" applyFill="1" applyBorder="1" applyAlignment="1">
      <alignment vertical="top" wrapText="1"/>
    </xf>
    <xf numFmtId="164" fontId="21" fillId="4" borderId="17" xfId="5" applyNumberFormat="1" applyFont="1" applyFill="1" applyBorder="1" applyAlignment="1">
      <alignment horizontal="right" vertical="top"/>
    </xf>
    <xf numFmtId="0" fontId="8" fillId="0" borderId="0" xfId="6"/>
    <xf numFmtId="0" fontId="24" fillId="0" borderId="6" xfId="6" applyFont="1" applyBorder="1" applyAlignment="1">
      <alignment horizontal="center" wrapText="1"/>
    </xf>
    <xf numFmtId="0" fontId="24" fillId="0" borderId="7" xfId="6" applyFont="1" applyBorder="1" applyAlignment="1">
      <alignment horizontal="center" wrapText="1"/>
    </xf>
    <xf numFmtId="0" fontId="24" fillId="8" borderId="8" xfId="6" applyFont="1" applyFill="1" applyBorder="1" applyAlignment="1">
      <alignment horizontal="left" vertical="top" wrapText="1"/>
    </xf>
    <xf numFmtId="164" fontId="25" fillId="4" borderId="9" xfId="6" applyNumberFormat="1" applyFont="1" applyFill="1" applyBorder="1" applyAlignment="1">
      <alignment horizontal="right" vertical="top"/>
    </xf>
    <xf numFmtId="164" fontId="25" fillId="4" borderId="10" xfId="6" applyNumberFormat="1" applyFont="1" applyFill="1" applyBorder="1" applyAlignment="1">
      <alignment horizontal="right" vertical="top"/>
    </xf>
    <xf numFmtId="0" fontId="24" fillId="8" borderId="11" xfId="6" applyFont="1" applyFill="1" applyBorder="1" applyAlignment="1">
      <alignment horizontal="left" vertical="top" wrapText="1"/>
    </xf>
    <xf numFmtId="164" fontId="25" fillId="4" borderId="12" xfId="6" applyNumberFormat="1" applyFont="1" applyFill="1" applyBorder="1" applyAlignment="1">
      <alignment horizontal="right" vertical="top"/>
    </xf>
    <xf numFmtId="164" fontId="25" fillId="4" borderId="13" xfId="6" applyNumberFormat="1" applyFont="1" applyFill="1" applyBorder="1" applyAlignment="1">
      <alignment horizontal="right" vertical="top"/>
    </xf>
    <xf numFmtId="164" fontId="25" fillId="4" borderId="15" xfId="6" applyNumberFormat="1" applyFont="1" applyFill="1" applyBorder="1" applyAlignment="1">
      <alignment horizontal="right" vertical="top"/>
    </xf>
    <xf numFmtId="164" fontId="25" fillId="4" borderId="16" xfId="6" applyNumberFormat="1" applyFont="1" applyFill="1" applyBorder="1" applyAlignment="1">
      <alignment horizontal="right" vertical="top"/>
    </xf>
    <xf numFmtId="167" fontId="10" fillId="4" borderId="17" xfId="6" applyNumberFormat="1" applyFont="1" applyFill="1" applyBorder="1" applyAlignment="1">
      <alignment horizontal="center" vertical="center"/>
    </xf>
    <xf numFmtId="164" fontId="10" fillId="4" borderId="17" xfId="6" applyNumberFormat="1" applyFont="1" applyFill="1" applyBorder="1" applyAlignment="1">
      <alignment horizontal="center" vertical="center"/>
    </xf>
    <xf numFmtId="0" fontId="10" fillId="2" borderId="17" xfId="6" applyFont="1" applyFill="1" applyBorder="1" applyAlignment="1">
      <alignment horizontal="center" vertical="center" wrapText="1"/>
    </xf>
    <xf numFmtId="0" fontId="9" fillId="2" borderId="17" xfId="6" applyFont="1" applyFill="1" applyBorder="1" applyAlignment="1">
      <alignment horizontal="center" vertical="center" wrapText="1"/>
    </xf>
    <xf numFmtId="0" fontId="10" fillId="4" borderId="21" xfId="6" applyFont="1" applyFill="1" applyBorder="1" applyAlignment="1">
      <alignment horizontal="center" vertical="center" wrapText="1"/>
    </xf>
    <xf numFmtId="0" fontId="10" fillId="4" borderId="18" xfId="6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9" fillId="0" borderId="0" xfId="6" applyFont="1" applyAlignment="1">
      <alignment vertical="center" wrapText="1"/>
    </xf>
    <xf numFmtId="0" fontId="9" fillId="8" borderId="5" xfId="6" applyFont="1" applyFill="1" applyBorder="1" applyAlignment="1">
      <alignment horizontal="center" vertical="center" wrapText="1"/>
    </xf>
    <xf numFmtId="164" fontId="10" fillId="4" borderId="6" xfId="6" applyNumberFormat="1" applyFont="1" applyFill="1" applyBorder="1" applyAlignment="1">
      <alignment horizontal="center" vertical="center"/>
    </xf>
    <xf numFmtId="0" fontId="10" fillId="4" borderId="7" xfId="6" applyFont="1" applyFill="1" applyBorder="1" applyAlignment="1">
      <alignment horizontal="center" vertical="center" wrapText="1"/>
    </xf>
    <xf numFmtId="0" fontId="20" fillId="0" borderId="17" xfId="6" applyFont="1" applyBorder="1" applyAlignment="1">
      <alignment horizontal="center" vertical="center" wrapText="1"/>
    </xf>
    <xf numFmtId="0" fontId="14" fillId="6" borderId="17" xfId="0" applyFont="1" applyFill="1" applyBorder="1" applyAlignment="1">
      <alignment horizontal="center"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29" fillId="6" borderId="17" xfId="0" applyFont="1" applyFill="1" applyBorder="1" applyAlignment="1">
      <alignment horizontal="center" vertical="center" wrapText="1"/>
    </xf>
    <xf numFmtId="0" fontId="10" fillId="4" borderId="17" xfId="6" applyFont="1" applyFill="1" applyBorder="1" applyAlignment="1">
      <alignment horizontal="center" vertical="center"/>
    </xf>
    <xf numFmtId="0" fontId="22" fillId="2" borderId="17" xfId="4" applyFont="1" applyFill="1" applyBorder="1" applyAlignment="1">
      <alignment horizontal="center" vertical="center" wrapText="1"/>
    </xf>
    <xf numFmtId="9" fontId="21" fillId="4" borderId="17" xfId="1" applyFont="1" applyFill="1" applyBorder="1" applyAlignment="1">
      <alignment horizontal="right" vertical="top"/>
    </xf>
    <xf numFmtId="164" fontId="23" fillId="4" borderId="17" xfId="5" applyNumberFormat="1" applyFont="1" applyFill="1" applyBorder="1" applyAlignment="1">
      <alignment horizontal="right" vertical="top"/>
    </xf>
    <xf numFmtId="9" fontId="23" fillId="4" borderId="17" xfId="1" applyFont="1" applyFill="1" applyBorder="1" applyAlignment="1">
      <alignment horizontal="right" vertical="top"/>
    </xf>
    <xf numFmtId="164" fontId="30" fillId="4" borderId="9" xfId="5" applyNumberFormat="1" applyFont="1" applyFill="1" applyBorder="1" applyAlignment="1">
      <alignment horizontal="right" vertical="top"/>
    </xf>
    <xf numFmtId="164" fontId="30" fillId="4" borderId="12" xfId="5" applyNumberFormat="1" applyFont="1" applyFill="1" applyBorder="1" applyAlignment="1">
      <alignment horizontal="right" vertical="top"/>
    </xf>
    <xf numFmtId="164" fontId="30" fillId="4" borderId="15" xfId="5" applyNumberFormat="1" applyFont="1" applyFill="1" applyBorder="1" applyAlignment="1">
      <alignment horizontal="right" vertical="top"/>
    </xf>
    <xf numFmtId="9" fontId="30" fillId="4" borderId="10" xfId="1" applyFont="1" applyFill="1" applyBorder="1" applyAlignment="1">
      <alignment horizontal="right" vertical="top"/>
    </xf>
    <xf numFmtId="9" fontId="30" fillId="4" borderId="13" xfId="1" applyFont="1" applyFill="1" applyBorder="1" applyAlignment="1">
      <alignment horizontal="right" vertical="top"/>
    </xf>
    <xf numFmtId="9" fontId="30" fillId="4" borderId="16" xfId="1" applyFont="1" applyFill="1" applyBorder="1" applyAlignment="1">
      <alignment horizontal="right" vertical="top"/>
    </xf>
    <xf numFmtId="0" fontId="11" fillId="6" borderId="17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 wrapText="1"/>
    </xf>
    <xf numFmtId="0" fontId="26" fillId="5" borderId="17" xfId="0" applyFont="1" applyFill="1" applyBorder="1" applyAlignment="1">
      <alignment horizontal="center" vertical="center" wrapText="1"/>
    </xf>
    <xf numFmtId="0" fontId="31" fillId="4" borderId="17" xfId="6" applyFont="1" applyFill="1" applyBorder="1" applyAlignment="1">
      <alignment horizontal="center" vertical="center"/>
    </xf>
    <xf numFmtId="164" fontId="31" fillId="4" borderId="17" xfId="6" applyNumberFormat="1" applyFont="1" applyFill="1" applyBorder="1" applyAlignment="1">
      <alignment horizontal="center" vertical="center"/>
    </xf>
    <xf numFmtId="167" fontId="31" fillId="4" borderId="17" xfId="6" applyNumberFormat="1" applyFont="1" applyFill="1" applyBorder="1" applyAlignment="1">
      <alignment horizontal="center" vertical="center"/>
    </xf>
    <xf numFmtId="0" fontId="31" fillId="4" borderId="21" xfId="6" applyFont="1" applyFill="1" applyBorder="1" applyAlignment="1">
      <alignment horizontal="center" vertical="center" wrapText="1"/>
    </xf>
    <xf numFmtId="0" fontId="31" fillId="4" borderId="18" xfId="6" applyFont="1" applyFill="1" applyBorder="1" applyAlignment="1">
      <alignment horizontal="center" vertical="center" wrapText="1"/>
    </xf>
    <xf numFmtId="0" fontId="24" fillId="0" borderId="0" xfId="6" applyFont="1" applyAlignment="1">
      <alignment wrapText="1"/>
    </xf>
    <xf numFmtId="0" fontId="24" fillId="0" borderId="5" xfId="6" applyFont="1" applyBorder="1" applyAlignment="1">
      <alignment wrapText="1"/>
    </xf>
    <xf numFmtId="0" fontId="23" fillId="2" borderId="17" xfId="6" applyFont="1" applyFill="1" applyBorder="1" applyAlignment="1">
      <alignment horizontal="center" vertical="center" wrapText="1"/>
    </xf>
    <xf numFmtId="167" fontId="23" fillId="4" borderId="17" xfId="6" applyNumberFormat="1" applyFont="1" applyFill="1" applyBorder="1" applyAlignment="1">
      <alignment horizontal="center" vertical="center"/>
    </xf>
    <xf numFmtId="164" fontId="23" fillId="4" borderId="17" xfId="6" applyNumberFormat="1" applyFont="1" applyFill="1" applyBorder="1" applyAlignment="1">
      <alignment horizontal="center" vertical="center"/>
    </xf>
    <xf numFmtId="0" fontId="23" fillId="4" borderId="21" xfId="6" applyFont="1" applyFill="1" applyBorder="1" applyAlignment="1">
      <alignment horizontal="center" vertical="center" wrapText="1"/>
    </xf>
    <xf numFmtId="0" fontId="23" fillId="4" borderId="18" xfId="6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0" fontId="9" fillId="5" borderId="1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2" fillId="0" borderId="23" xfId="4" applyFont="1" applyBorder="1" applyAlignment="1">
      <alignment horizontal="center" vertical="center" wrapText="1"/>
    </xf>
    <xf numFmtId="0" fontId="22" fillId="0" borderId="17" xfId="4" applyFont="1" applyBorder="1" applyAlignment="1">
      <alignment horizontal="center" vertical="center" wrapText="1"/>
    </xf>
    <xf numFmtId="0" fontId="23" fillId="5" borderId="22" xfId="4" applyFont="1" applyFill="1" applyBorder="1" applyAlignment="1">
      <alignment horizontal="center" vertical="center" wrapText="1"/>
    </xf>
    <xf numFmtId="0" fontId="23" fillId="5" borderId="24" xfId="4" applyFont="1" applyFill="1" applyBorder="1" applyAlignment="1">
      <alignment horizontal="center" vertical="center" wrapText="1"/>
    </xf>
    <xf numFmtId="0" fontId="22" fillId="2" borderId="17" xfId="4" applyFont="1" applyFill="1" applyBorder="1" applyAlignment="1">
      <alignment horizontal="center" vertical="center" wrapText="1"/>
    </xf>
    <xf numFmtId="0" fontId="19" fillId="0" borderId="0" xfId="5" applyFont="1" applyAlignment="1">
      <alignment horizontal="center" vertical="center" wrapText="1"/>
    </xf>
    <xf numFmtId="0" fontId="24" fillId="0" borderId="5" xfId="5" applyFont="1" applyBorder="1" applyAlignment="1">
      <alignment horizontal="left" wrapText="1"/>
    </xf>
    <xf numFmtId="0" fontId="24" fillId="8" borderId="8" xfId="5" applyFont="1" applyFill="1" applyBorder="1" applyAlignment="1">
      <alignment horizontal="left" vertical="top" wrapText="1"/>
    </xf>
    <xf numFmtId="0" fontId="24" fillId="8" borderId="11" xfId="5" applyFont="1" applyFill="1" applyBorder="1" applyAlignment="1">
      <alignment horizontal="left" vertical="top" wrapText="1"/>
    </xf>
    <xf numFmtId="0" fontId="24" fillId="8" borderId="14" xfId="5" applyFont="1" applyFill="1" applyBorder="1" applyAlignment="1">
      <alignment horizontal="left" vertical="top" wrapText="1"/>
    </xf>
    <xf numFmtId="0" fontId="22" fillId="2" borderId="17" xfId="0" applyFont="1" applyFill="1" applyBorder="1" applyAlignment="1">
      <alignment horizontal="center" vertical="center" wrapText="1"/>
    </xf>
    <xf numFmtId="0" fontId="9" fillId="2" borderId="17" xfId="6" applyFont="1" applyFill="1" applyBorder="1" applyAlignment="1">
      <alignment horizontal="center" vertical="center" wrapText="1"/>
    </xf>
    <xf numFmtId="0" fontId="24" fillId="8" borderId="8" xfId="6" applyFont="1" applyFill="1" applyBorder="1" applyAlignment="1">
      <alignment horizontal="left" vertical="top" wrapText="1"/>
    </xf>
    <xf numFmtId="0" fontId="24" fillId="8" borderId="11" xfId="6" applyFont="1" applyFill="1" applyBorder="1" applyAlignment="1">
      <alignment horizontal="left" vertical="top" wrapText="1"/>
    </xf>
    <xf numFmtId="0" fontId="24" fillId="8" borderId="14" xfId="6" applyFont="1" applyFill="1" applyBorder="1" applyAlignment="1">
      <alignment horizontal="left" vertical="top" wrapText="1"/>
    </xf>
    <xf numFmtId="0" fontId="25" fillId="0" borderId="0" xfId="6" applyFont="1" applyAlignment="1">
      <alignment horizontal="left" vertical="top" wrapText="1"/>
    </xf>
    <xf numFmtId="0" fontId="15" fillId="0" borderId="17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31" fillId="0" borderId="17" xfId="6" applyFont="1" applyBorder="1" applyAlignment="1">
      <alignment horizontal="left" vertical="top" wrapText="1"/>
    </xf>
    <xf numFmtId="0" fontId="31" fillId="0" borderId="24" xfId="6" applyFont="1" applyBorder="1" applyAlignment="1">
      <alignment horizontal="left" vertical="top" wrapText="1"/>
    </xf>
    <xf numFmtId="0" fontId="22" fillId="2" borderId="17" xfId="0" applyFont="1" applyFill="1" applyBorder="1" applyAlignment="1">
      <alignment horizontal="center" vertical="center"/>
    </xf>
    <xf numFmtId="0" fontId="10" fillId="0" borderId="0" xfId="6" applyFont="1" applyAlignment="1">
      <alignment horizontal="left" vertical="top" wrapText="1"/>
    </xf>
    <xf numFmtId="0" fontId="9" fillId="0" borderId="0" xfId="6" applyFont="1" applyAlignment="1">
      <alignment horizontal="center" vertical="center" wrapText="1"/>
    </xf>
    <xf numFmtId="0" fontId="24" fillId="0" borderId="0" xfId="6" applyFont="1" applyAlignment="1">
      <alignment horizontal="left" wrapText="1"/>
    </xf>
    <xf numFmtId="0" fontId="24" fillId="0" borderId="5" xfId="6" applyFont="1" applyBorder="1" applyAlignment="1">
      <alignment horizontal="left" wrapText="1"/>
    </xf>
    <xf numFmtId="0" fontId="24" fillId="0" borderId="19" xfId="6" applyFont="1" applyBorder="1" applyAlignment="1">
      <alignment horizontal="center" wrapText="1"/>
    </xf>
    <xf numFmtId="0" fontId="24" fillId="0" borderId="20" xfId="6" applyFont="1" applyBorder="1" applyAlignment="1">
      <alignment horizontal="center" wrapText="1"/>
    </xf>
    <xf numFmtId="0" fontId="7" fillId="2" borderId="1" xfId="2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0" xfId="3"/>
    <xf numFmtId="0" fontId="25" fillId="0" borderId="0" xfId="3" applyFont="1" applyBorder="1" applyAlignment="1">
      <alignment horizontal="left" vertical="top" wrapText="1"/>
    </xf>
    <xf numFmtId="0" fontId="34" fillId="6" borderId="17" xfId="0" applyFont="1" applyFill="1" applyBorder="1" applyAlignment="1">
      <alignment horizontal="center" vertical="center" wrapText="1"/>
    </xf>
    <xf numFmtId="0" fontId="35" fillId="4" borderId="17" xfId="3" applyFont="1" applyFill="1" applyBorder="1" applyAlignment="1">
      <alignment horizontal="center" vertical="center"/>
    </xf>
    <xf numFmtId="164" fontId="35" fillId="4" borderId="17" xfId="3" applyNumberFormat="1" applyFont="1" applyFill="1" applyBorder="1" applyAlignment="1">
      <alignment horizontal="center" vertical="center"/>
    </xf>
    <xf numFmtId="167" fontId="35" fillId="4" borderId="17" xfId="3" applyNumberFormat="1" applyFont="1" applyFill="1" applyBorder="1" applyAlignment="1">
      <alignment horizontal="center" vertical="center"/>
    </xf>
    <xf numFmtId="0" fontId="35" fillId="4" borderId="21" xfId="3" applyFont="1" applyFill="1" applyBorder="1" applyAlignment="1">
      <alignment horizontal="center" vertical="center" wrapText="1"/>
    </xf>
    <xf numFmtId="0" fontId="35" fillId="4" borderId="18" xfId="3" applyFont="1" applyFill="1" applyBorder="1" applyAlignment="1">
      <alignment horizontal="center" vertical="center" wrapText="1"/>
    </xf>
    <xf numFmtId="0" fontId="37" fillId="0" borderId="0" xfId="7"/>
    <xf numFmtId="0" fontId="38" fillId="0" borderId="0" xfId="7" applyFont="1" applyBorder="1" applyAlignment="1">
      <alignment horizontal="left" vertical="top" wrapText="1"/>
    </xf>
    <xf numFmtId="0" fontId="9" fillId="0" borderId="17" xfId="3" applyFont="1" applyBorder="1" applyAlignment="1">
      <alignment horizontal="center" vertical="center" wrapText="1"/>
    </xf>
    <xf numFmtId="0" fontId="10" fillId="6" borderId="17" xfId="0" applyFont="1" applyFill="1" applyBorder="1" applyAlignment="1">
      <alignment horizontal="center" vertical="center" wrapText="1"/>
    </xf>
    <xf numFmtId="0" fontId="10" fillId="4" borderId="17" xfId="7" applyFont="1" applyFill="1" applyBorder="1" applyAlignment="1">
      <alignment horizontal="center" vertical="center"/>
    </xf>
    <xf numFmtId="164" fontId="10" fillId="4" borderId="17" xfId="7" applyNumberFormat="1" applyFont="1" applyFill="1" applyBorder="1" applyAlignment="1">
      <alignment horizontal="center" vertical="center"/>
    </xf>
    <xf numFmtId="167" fontId="10" fillId="4" borderId="17" xfId="7" applyNumberFormat="1" applyFont="1" applyFill="1" applyBorder="1" applyAlignment="1">
      <alignment horizontal="center" vertical="center"/>
    </xf>
    <xf numFmtId="0" fontId="10" fillId="4" borderId="21" xfId="7" applyFont="1" applyFill="1" applyBorder="1" applyAlignment="1">
      <alignment horizontal="center" vertical="center" wrapText="1"/>
    </xf>
    <xf numFmtId="0" fontId="10" fillId="4" borderId="18" xfId="7" applyFont="1" applyFill="1" applyBorder="1" applyAlignment="1">
      <alignment horizontal="center" vertical="center" wrapText="1"/>
    </xf>
    <xf numFmtId="0" fontId="25" fillId="0" borderId="0" xfId="3" applyFont="1" applyBorder="1" applyAlignment="1">
      <alignment horizontal="center" vertical="center" wrapText="1"/>
    </xf>
    <xf numFmtId="0" fontId="21" fillId="4" borderId="17" xfId="3" applyFont="1" applyFill="1" applyBorder="1" applyAlignment="1">
      <alignment horizontal="center" vertical="center"/>
    </xf>
    <xf numFmtId="164" fontId="21" fillId="4" borderId="17" xfId="3" applyNumberFormat="1" applyFont="1" applyFill="1" applyBorder="1" applyAlignment="1">
      <alignment horizontal="center" vertical="center"/>
    </xf>
    <xf numFmtId="167" fontId="21" fillId="4" borderId="17" xfId="3" applyNumberFormat="1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 wrapText="1"/>
    </xf>
    <xf numFmtId="0" fontId="21" fillId="4" borderId="18" xfId="3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/>
    </xf>
    <xf numFmtId="9" fontId="3" fillId="0" borderId="17" xfId="0" applyNumberFormat="1" applyFont="1" applyBorder="1" applyAlignment="1">
      <alignment horizontal="center" vertical="center"/>
    </xf>
    <xf numFmtId="0" fontId="9" fillId="0" borderId="27" xfId="3" applyFont="1" applyBorder="1" applyAlignment="1">
      <alignment horizontal="center" vertical="center" wrapText="1"/>
    </xf>
    <xf numFmtId="0" fontId="9" fillId="0" borderId="28" xfId="3" applyFont="1" applyBorder="1" applyAlignment="1">
      <alignment horizontal="center" vertical="center" wrapText="1"/>
    </xf>
    <xf numFmtId="0" fontId="9" fillId="0" borderId="29" xfId="3" applyFont="1" applyBorder="1" applyAlignment="1">
      <alignment horizontal="center" vertical="center" wrapText="1"/>
    </xf>
    <xf numFmtId="0" fontId="7" fillId="0" borderId="27" xfId="3" applyFont="1" applyBorder="1" applyAlignment="1">
      <alignment horizontal="center" vertical="center" wrapText="1"/>
    </xf>
    <xf numFmtId="0" fontId="7" fillId="0" borderId="28" xfId="3" applyFont="1" applyBorder="1" applyAlignment="1">
      <alignment horizontal="center" vertical="center" wrapText="1"/>
    </xf>
    <xf numFmtId="0" fontId="7" fillId="0" borderId="29" xfId="3" applyFont="1" applyBorder="1" applyAlignment="1">
      <alignment horizontal="center" vertical="center" wrapText="1"/>
    </xf>
    <xf numFmtId="0" fontId="11" fillId="0" borderId="18" xfId="3" applyFont="1" applyBorder="1" applyAlignment="1">
      <alignment horizontal="left" vertical="top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9" fillId="2" borderId="23" xfId="3" applyFont="1" applyFill="1" applyBorder="1" applyAlignment="1">
      <alignment horizontal="center" vertical="center" wrapText="1"/>
    </xf>
    <xf numFmtId="0" fontId="9" fillId="2" borderId="24" xfId="3" applyFont="1" applyFill="1" applyBorder="1" applyAlignment="1">
      <alignment horizontal="center" vertical="center" wrapText="1"/>
    </xf>
    <xf numFmtId="0" fontId="9" fillId="2" borderId="21" xfId="3" applyFont="1" applyFill="1" applyBorder="1" applyAlignment="1">
      <alignment horizontal="center" vertical="center" wrapText="1"/>
    </xf>
    <xf numFmtId="0" fontId="9" fillId="2" borderId="25" xfId="3" applyFont="1" applyFill="1" applyBorder="1" applyAlignment="1">
      <alignment horizontal="center" vertical="center" wrapText="1"/>
    </xf>
    <xf numFmtId="0" fontId="9" fillId="2" borderId="30" xfId="3" applyFont="1" applyFill="1" applyBorder="1" applyAlignment="1">
      <alignment horizontal="center" vertical="center" wrapText="1"/>
    </xf>
    <xf numFmtId="0" fontId="9" fillId="2" borderId="26" xfId="3" applyFont="1" applyFill="1" applyBorder="1" applyAlignment="1">
      <alignment horizontal="center" vertical="center" wrapText="1"/>
    </xf>
    <xf numFmtId="0" fontId="9" fillId="2" borderId="31" xfId="3" applyFont="1" applyFill="1" applyBorder="1" applyAlignment="1">
      <alignment horizontal="center" vertical="center" wrapText="1"/>
    </xf>
    <xf numFmtId="0" fontId="9" fillId="2" borderId="22" xfId="3" applyFont="1" applyFill="1" applyBorder="1" applyAlignment="1">
      <alignment horizontal="center" vertical="center" wrapText="1"/>
    </xf>
    <xf numFmtId="0" fontId="9" fillId="2" borderId="18" xfId="3" applyFont="1" applyFill="1" applyBorder="1" applyAlignment="1">
      <alignment horizontal="center" vertical="center" wrapText="1"/>
    </xf>
    <xf numFmtId="0" fontId="9" fillId="2" borderId="32" xfId="3" applyFont="1" applyFill="1" applyBorder="1" applyAlignment="1">
      <alignment horizontal="center" vertical="center" wrapText="1"/>
    </xf>
    <xf numFmtId="0" fontId="25" fillId="0" borderId="0" xfId="6" applyFont="1" applyBorder="1" applyAlignment="1">
      <alignment horizontal="left" vertical="top" wrapText="1"/>
    </xf>
  </cellXfs>
  <cellStyles count="8">
    <cellStyle name="Normal" xfId="0" builtinId="0"/>
    <cellStyle name="Normal_Feuil4" xfId="3" xr:uid="{73C41355-D2EC-400D-870B-EFFEB06592B9}"/>
    <cellStyle name="Normal_Feuil4_1" xfId="7" xr:uid="{D6238CE6-DD3C-4B27-A714-8DDCBB6E3A47}"/>
    <cellStyle name="Normal_Feuil6" xfId="4" xr:uid="{F1827292-0E6C-4B9E-95A3-68203C6A87B4}"/>
    <cellStyle name="Normal_Feuil6_1" xfId="5" xr:uid="{AE23A23A-FCFD-44C3-9D01-DBB45D89C641}"/>
    <cellStyle name="Normal_Feuil8" xfId="2" xr:uid="{6C78BE88-4DE3-4874-8DA2-D263E4C3E0E3}"/>
    <cellStyle name="Normal_Feuil9" xfId="6" xr:uid="{5F1C4A6F-C95B-4D5B-9CC6-0C84581CE4F2}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latin typeface="Times New Roman" panose="02020603050405020304" pitchFamily="18" charset="0"/>
                <a:cs typeface="Times New Roman" panose="02020603050405020304" pitchFamily="18" charset="0"/>
              </a:rPr>
              <a:t>Répartition des bénéficiaires selon la situation matrimoniale</a:t>
            </a:r>
          </a:p>
        </c:rich>
      </c:tx>
      <c:layout>
        <c:manualLayout>
          <c:xMode val="edge"/>
          <c:yMode val="edge"/>
          <c:x val="0.1223748906386701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Feuil2!$K$1</c:f>
              <c:strCache>
                <c:ptCount val="1"/>
                <c:pt idx="0">
                  <c:v>Pourcentage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D5-4597-982F-598934FE1CED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A6-462C-B95C-C3CDAB52BA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D5-4597-982F-598934FE1C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Feuil2!$I$2:$I$4</c:f>
              <c:strCache>
                <c:ptCount val="3"/>
                <c:pt idx="0">
                  <c:v>Célibataire</c:v>
                </c:pt>
                <c:pt idx="1">
                  <c:v>Mariée</c:v>
                </c:pt>
                <c:pt idx="2">
                  <c:v>Veuve/Divorcée</c:v>
                </c:pt>
              </c:strCache>
            </c:strRef>
          </c:cat>
          <c:val>
            <c:numRef>
              <c:f>Feuil2!$K$2:$K$4</c:f>
              <c:numCache>
                <c:formatCode>0%</c:formatCode>
                <c:ptCount val="3"/>
                <c:pt idx="0">
                  <c:v>0.23</c:v>
                </c:pt>
                <c:pt idx="1">
                  <c:v>0.63</c:v>
                </c:pt>
                <c:pt idx="2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6-462C-B95C-C3CDAB52BA3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74603251992883"/>
          <c:y val="0.85053102075982123"/>
          <c:w val="0.38127593183978936"/>
          <c:h val="6.3291572877419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Feuil2!$B$14</c:f>
              <c:strCache>
                <c:ptCount val="1"/>
                <c:pt idx="0">
                  <c:v>Effectif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9D-417B-9F01-4A3D399B29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9D-417B-9F01-4A3D399B29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19D-417B-9F01-4A3D399B29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19D-417B-9F01-4A3D399B29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Feuil2!$A$15:$A$18</c:f>
              <c:strCache>
                <c:ptCount val="4"/>
                <c:pt idx="0">
                  <c:v>Procédure compliquée</c:v>
                </c:pt>
                <c:pt idx="1">
                  <c:v>Taux d’intérêt élevé</c:v>
                </c:pt>
                <c:pt idx="2">
                  <c:v>Montant insuffisant</c:v>
                </c:pt>
                <c:pt idx="3">
                  <c:v>Délai long</c:v>
                </c:pt>
              </c:strCache>
            </c:strRef>
          </c:cat>
          <c:val>
            <c:numRef>
              <c:f>Feuil2!$B$15:$B$18</c:f>
              <c:numCache>
                <c:formatCode>General</c:formatCode>
                <c:ptCount val="4"/>
                <c:pt idx="0">
                  <c:v>41</c:v>
                </c:pt>
                <c:pt idx="1">
                  <c:v>16</c:v>
                </c:pt>
                <c:pt idx="2">
                  <c:v>10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0-42DE-8697-03B9069ABC1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u="none" strike="noStrike" baseline="0">
                <a:effectLst/>
              </a:rPr>
              <a:t>Cause du non utilisation des outils digitaux</a:t>
            </a:r>
            <a:r>
              <a:rPr lang="fr-FR" sz="1800" b="1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Feuil6!$C$22</c:f>
              <c:strCache>
                <c:ptCount val="1"/>
                <c:pt idx="0">
                  <c:v>Effectif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E2C-4B05-8FE4-112EFB41F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E2C-4B05-8FE4-112EFB41F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E2C-4B05-8FE4-112EFB41F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E2C-4B05-8FE4-112EFB41F9F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Feuil6!$B$23:$B$26</c:f>
              <c:strCache>
                <c:ptCount val="4"/>
                <c:pt idx="0">
                  <c:v>Manque de formation</c:v>
                </c:pt>
                <c:pt idx="1">
                  <c:v>Absence d'accès à la technologie</c:v>
                </c:pt>
                <c:pt idx="2">
                  <c:v>Préférence pour le contact humain</c:v>
                </c:pt>
                <c:pt idx="3">
                  <c:v>Autres</c:v>
                </c:pt>
              </c:strCache>
            </c:strRef>
          </c:cat>
          <c:val>
            <c:numRef>
              <c:f>Feuil6!$C$23:$C$26</c:f>
              <c:numCache>
                <c:formatCode>###0</c:formatCode>
                <c:ptCount val="4"/>
                <c:pt idx="0">
                  <c:v>18</c:v>
                </c:pt>
                <c:pt idx="1">
                  <c:v>31</c:v>
                </c:pt>
                <c:pt idx="2">
                  <c:v>42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39-41BD-B878-234EF8A24B3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056650765369652"/>
          <c:y val="0.47699476601931284"/>
          <c:w val="0.32943349234630342"/>
          <c:h val="0.4246808669597663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5</xdr:row>
      <xdr:rowOff>80961</xdr:rowOff>
    </xdr:from>
    <xdr:to>
      <xdr:col>15</xdr:col>
      <xdr:colOff>171450</xdr:colOff>
      <xdr:row>18</xdr:row>
      <xdr:rowOff>95249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62AF764-B2EA-2140-8676-485DDC1BE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85725</xdr:colOff>
      <xdr:row>6</xdr:row>
      <xdr:rowOff>33337</xdr:rowOff>
    </xdr:from>
    <xdr:to>
      <xdr:col>8</xdr:col>
      <xdr:colOff>923925</xdr:colOff>
      <xdr:row>16</xdr:row>
      <xdr:rowOff>195262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CDC59A9-5741-4B64-F119-4CD592E30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18</xdr:row>
      <xdr:rowOff>123825</xdr:rowOff>
    </xdr:from>
    <xdr:to>
      <xdr:col>14</xdr:col>
      <xdr:colOff>257175</xdr:colOff>
      <xdr:row>30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080E8A0-4A47-3F02-0DF4-F5182AF62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152400</xdr:rowOff>
    </xdr:from>
    <xdr:to>
      <xdr:col>9</xdr:col>
      <xdr:colOff>448310</xdr:colOff>
      <xdr:row>16</xdr:row>
      <xdr:rowOff>17780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C75440E-0CB8-83AD-C135-59CA5CE81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2675" y="152400"/>
          <a:ext cx="4953635" cy="29133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jorod" refreshedDate="45836.694763541665" createdVersion="8" refreshedVersion="8" minRefreshableVersion="3" recordCount="100" xr:uid="{70FCA8D2-2151-40E7-B775-8DFD095A04F5}">
  <cacheSource type="worksheet">
    <worksheetSource ref="A1:AB101" sheet="Nawa et Trinité"/>
  </cacheSource>
  <cacheFields count="28">
    <cacheField name="id" numFmtId="1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age" numFmtId="1">
      <sharedItems containsSemiMixedTypes="0" containsString="0" containsNumber="1" containsInteger="1" minValue="20" maxValue="50"/>
    </cacheField>
    <cacheField name="age_reg" numFmtId="1">
      <sharedItems count="4">
        <s v="36-45 ans"/>
        <s v="18-25 ans"/>
        <s v="26-35 ans"/>
        <s v="46 ans et +"/>
      </sharedItems>
    </cacheField>
    <cacheField name="niv_inst" numFmtId="1">
      <sharedItems containsSemiMixedTypes="0" containsString="0" containsNumber="1" containsInteger="1" minValue="1" maxValue="3" count="3">
        <n v="1"/>
        <n v="3"/>
        <n v="2"/>
      </sharedItems>
    </cacheField>
    <cacheField name="act_prin" numFmtId="1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situ_mat" numFmtId="1">
      <sharedItems containsSemiMixedTypes="0" containsString="0" containsNumber="1" containsInteger="1" minValue="1" maxValue="3" count="3">
        <n v="1"/>
        <n v="2"/>
        <n v="3"/>
      </sharedItems>
    </cacheField>
    <cacheField name="typ_cred" numFmtId="1">
      <sharedItems containsSemiMixedTypes="0" containsString="0" containsNumber="1" containsInteger="1" minValue="1" maxValue="2" count="2">
        <n v="2"/>
        <n v="1"/>
      </sharedItems>
    </cacheField>
    <cacheField name="con_cred" numFmtId="1">
      <sharedItems containsSemiMixedTypes="0" containsString="0" containsNumber="1" containsInteger="1" minValue="1" maxValue="4"/>
    </cacheField>
    <cacheField name="dur_cred" numFmtId="1">
      <sharedItems containsSemiMixedTypes="0" containsString="0" containsNumber="1" containsInteger="1" minValue="1" maxValue="4" count="4">
        <n v="2"/>
        <n v="1"/>
        <n v="3"/>
        <n v="4"/>
      </sharedItems>
    </cacheField>
    <cacheField name="cond_acc" numFmtId="1">
      <sharedItems containsSemiMixedTypes="0" containsString="0" containsNumber="1" containsInteger="1" minValue="1" maxValue="5"/>
    </cacheField>
    <cacheField name="Mont_cre" numFmtId="1">
      <sharedItems containsSemiMixedTypes="0" containsString="0" containsNumber="1" containsInteger="1" minValue="20000" maxValue="300000"/>
    </cacheField>
    <cacheField name="cond_oct" numFmtId="1">
      <sharedItems containsSemiMixedTypes="0" containsString="0" containsNumber="1" containsInteger="1" minValue="1" maxValue="3"/>
    </cacheField>
    <cacheField name="dif_ren" numFmtId="1">
      <sharedItems containsSemiMixedTypes="0" containsString="0" containsNumber="1" containsInteger="1" minValue="0" maxValue="1"/>
    </cacheField>
    <cacheField name="prec_dif" numFmtId="0">
      <sharedItems containsBlank="1"/>
    </cacheField>
    <cacheField name="for_reçu" numFmtId="1">
      <sharedItems containsSemiMixedTypes="0" containsString="0" containsNumber="1" containsInteger="1" minValue="0" maxValue="1"/>
    </cacheField>
    <cacheField name="aug_rev" numFmtId="1">
      <sharedItems containsSemiMixedTypes="0" containsString="0" containsNumber="1" containsInteger="1" minValue="1" maxValue="4"/>
    </cacheField>
    <cacheField name="dév_act" numFmtId="1">
      <sharedItems containsSemiMixedTypes="0" containsString="0" containsNumber="1" containsInteger="1" minValue="0" maxValue="1"/>
    </cacheField>
    <cacheField name="epar_cred" numFmtId="1">
      <sharedItems containsSemiMixedTypes="0" containsString="0" containsNumber="1" containsInteger="1" minValue="1" maxValue="3"/>
    </cacheField>
    <cacheField name="aut_cred" numFmtId="1">
      <sharedItems containsSemiMixedTypes="0" containsString="0" containsNumber="1" containsInteger="1" minValue="0" maxValue="1"/>
    </cacheField>
    <cacheField name="acc_sfin" numFmtId="1">
      <sharedItems containsSemiMixedTypes="0" containsString="0" containsNumber="1" containsInteger="1" minValue="0" maxValue="1"/>
    </cacheField>
    <cacheField name="util_cred_sante" numFmtId="1">
      <sharedItems containsSemiMixedTypes="0" containsString="0" containsNumber="1" containsInteger="1" minValue="0" maxValue="1"/>
    </cacheField>
    <cacheField name="util_cred_logement" numFmtId="1">
      <sharedItems containsSemiMixedTypes="0" containsString="0" containsNumber="1" containsInteger="1" minValue="0" maxValue="1"/>
    </cacheField>
    <cacheField name="util_cred_educ" numFmtId="1">
      <sharedItems containsSemiMixedTypes="0" containsString="0" containsNumber="1" containsInteger="1" minValue="0" maxValue="1"/>
    </cacheField>
    <cacheField name="out_digi" numFmtId="1">
      <sharedItems containsSemiMixedTypes="0" containsString="0" containsNumber="1" containsInteger="1" minValue="1" maxValue="4"/>
    </cacheField>
    <cacheField name="prec_out" numFmtId="1">
      <sharedItems containsSemiMixedTypes="0" containsString="0" containsNumber="1" containsInteger="1" minValue="0" maxValue="1"/>
    </cacheField>
    <cacheField name="micro_dis" numFmtId="1">
      <sharedItems containsSemiMixedTypes="0" containsString="0" containsNumber="1" containsInteger="1" minValue="0" maxValue="1"/>
    </cacheField>
    <cacheField name="form_out" numFmtId="1">
      <sharedItems containsSemiMixedTypes="0" containsString="0" containsNumber="1" containsInteger="1" minValue="0" maxValue="1"/>
    </cacheField>
    <cacheField name="intro_ou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n v="36"/>
    <x v="0"/>
    <x v="0"/>
    <x v="0"/>
    <x v="0"/>
    <x v="0"/>
    <n v="1"/>
    <x v="0"/>
    <n v="5"/>
    <n v="30000"/>
    <n v="2"/>
    <n v="0"/>
    <m/>
    <n v="1"/>
    <n v="2"/>
    <n v="1"/>
    <n v="1"/>
    <n v="1"/>
    <n v="1"/>
    <n v="1"/>
    <n v="1"/>
    <n v="1"/>
    <n v="4"/>
    <n v="0"/>
    <n v="0"/>
    <n v="1"/>
    <m/>
  </r>
  <r>
    <x v="1"/>
    <n v="22"/>
    <x v="1"/>
    <x v="1"/>
    <x v="1"/>
    <x v="1"/>
    <x v="1"/>
    <n v="3"/>
    <x v="1"/>
    <n v="3"/>
    <n v="120000"/>
    <n v="1"/>
    <n v="1"/>
    <s v="Taux d'i"/>
    <n v="1"/>
    <n v="1"/>
    <n v="1"/>
    <n v="2"/>
    <n v="1"/>
    <n v="0"/>
    <n v="1"/>
    <n v="1"/>
    <n v="1"/>
    <n v="4"/>
    <n v="1"/>
    <n v="0"/>
    <n v="1"/>
    <m/>
  </r>
  <r>
    <x v="2"/>
    <n v="33"/>
    <x v="2"/>
    <x v="0"/>
    <x v="2"/>
    <x v="1"/>
    <x v="0"/>
    <n v="2"/>
    <x v="2"/>
    <n v="2"/>
    <n v="40000"/>
    <n v="1"/>
    <n v="1"/>
    <s v="Procédu"/>
    <n v="1"/>
    <n v="1"/>
    <n v="1"/>
    <n v="3"/>
    <n v="0"/>
    <n v="1"/>
    <n v="1"/>
    <n v="1"/>
    <n v="1"/>
    <n v="4"/>
    <n v="1"/>
    <n v="0"/>
    <n v="1"/>
    <m/>
  </r>
  <r>
    <x v="3"/>
    <n v="39"/>
    <x v="0"/>
    <x v="2"/>
    <x v="1"/>
    <x v="0"/>
    <x v="0"/>
    <n v="1"/>
    <x v="0"/>
    <n v="1"/>
    <n v="30000"/>
    <n v="3"/>
    <n v="0"/>
    <m/>
    <n v="1"/>
    <n v="3"/>
    <n v="0"/>
    <n v="1"/>
    <n v="1"/>
    <n v="1"/>
    <n v="1"/>
    <n v="1"/>
    <n v="1"/>
    <n v="3"/>
    <n v="1"/>
    <n v="0"/>
    <n v="1"/>
    <m/>
  </r>
  <r>
    <x v="4"/>
    <n v="27"/>
    <x v="2"/>
    <x v="1"/>
    <x v="0"/>
    <x v="1"/>
    <x v="1"/>
    <n v="2"/>
    <x v="0"/>
    <n v="1"/>
    <n v="100000"/>
    <n v="2"/>
    <n v="1"/>
    <s v="Procédu"/>
    <n v="1"/>
    <n v="2"/>
    <n v="0"/>
    <n v="1"/>
    <n v="1"/>
    <n v="1"/>
    <n v="1"/>
    <n v="1"/>
    <n v="1"/>
    <n v="1"/>
    <n v="1"/>
    <n v="0"/>
    <n v="1"/>
    <m/>
  </r>
  <r>
    <x v="5"/>
    <n v="23"/>
    <x v="1"/>
    <x v="2"/>
    <x v="2"/>
    <x v="1"/>
    <x v="0"/>
    <n v="1"/>
    <x v="1"/>
    <n v="2"/>
    <n v="20000"/>
    <n v="3"/>
    <n v="0"/>
    <m/>
    <n v="0"/>
    <n v="2"/>
    <n v="1"/>
    <n v="2"/>
    <n v="1"/>
    <n v="0"/>
    <n v="1"/>
    <n v="1"/>
    <n v="1"/>
    <n v="4"/>
    <n v="1"/>
    <n v="0"/>
    <n v="0"/>
    <m/>
  </r>
  <r>
    <x v="6"/>
    <n v="38"/>
    <x v="0"/>
    <x v="2"/>
    <x v="2"/>
    <x v="0"/>
    <x v="1"/>
    <n v="3"/>
    <x v="2"/>
    <n v="1"/>
    <n v="130000"/>
    <n v="1"/>
    <n v="1"/>
    <s v="Montant"/>
    <n v="0"/>
    <n v="1"/>
    <n v="0"/>
    <n v="1"/>
    <n v="0"/>
    <n v="1"/>
    <n v="1"/>
    <n v="0"/>
    <n v="1"/>
    <n v="3"/>
    <n v="0"/>
    <n v="0"/>
    <n v="1"/>
    <m/>
  </r>
  <r>
    <x v="7"/>
    <n v="20"/>
    <x v="1"/>
    <x v="0"/>
    <x v="0"/>
    <x v="0"/>
    <x v="0"/>
    <n v="1"/>
    <x v="2"/>
    <n v="3"/>
    <n v="50000"/>
    <n v="2"/>
    <n v="1"/>
    <s v="Procédu"/>
    <n v="0"/>
    <n v="2"/>
    <n v="1"/>
    <n v="2"/>
    <n v="1"/>
    <n v="1"/>
    <n v="1"/>
    <n v="1"/>
    <n v="1"/>
    <n v="4"/>
    <n v="0"/>
    <n v="0"/>
    <n v="1"/>
    <m/>
  </r>
  <r>
    <x v="8"/>
    <n v="29"/>
    <x v="2"/>
    <x v="1"/>
    <x v="0"/>
    <x v="1"/>
    <x v="1"/>
    <n v="3"/>
    <x v="0"/>
    <n v="2"/>
    <n v="100000"/>
    <n v="2"/>
    <n v="0"/>
    <m/>
    <n v="1"/>
    <n v="1"/>
    <n v="0"/>
    <n v="1"/>
    <n v="1"/>
    <n v="1"/>
    <n v="1"/>
    <n v="0"/>
    <n v="1"/>
    <n v="4"/>
    <n v="0"/>
    <n v="0"/>
    <n v="1"/>
    <m/>
  </r>
  <r>
    <x v="9"/>
    <n v="34"/>
    <x v="2"/>
    <x v="0"/>
    <x v="0"/>
    <x v="1"/>
    <x v="0"/>
    <n v="1"/>
    <x v="2"/>
    <n v="3"/>
    <n v="40000"/>
    <n v="2"/>
    <n v="1"/>
    <s v="Procédu"/>
    <n v="1"/>
    <n v="2"/>
    <n v="1"/>
    <n v="3"/>
    <n v="0"/>
    <n v="1"/>
    <n v="1"/>
    <n v="0"/>
    <n v="1"/>
    <n v="4"/>
    <n v="1"/>
    <n v="0"/>
    <n v="0"/>
    <m/>
  </r>
  <r>
    <x v="10"/>
    <n v="26"/>
    <x v="2"/>
    <x v="1"/>
    <x v="2"/>
    <x v="1"/>
    <x v="1"/>
    <n v="2"/>
    <x v="0"/>
    <n v="1"/>
    <n v="120000"/>
    <n v="1"/>
    <n v="1"/>
    <s v="Taux d'i"/>
    <n v="1"/>
    <n v="2"/>
    <n v="0"/>
    <n v="1"/>
    <n v="1"/>
    <n v="1"/>
    <n v="1"/>
    <n v="1"/>
    <n v="1"/>
    <n v="1"/>
    <n v="1"/>
    <n v="0"/>
    <n v="1"/>
    <m/>
  </r>
  <r>
    <x v="11"/>
    <n v="22"/>
    <x v="1"/>
    <x v="2"/>
    <x v="1"/>
    <x v="2"/>
    <x v="1"/>
    <n v="3"/>
    <x v="1"/>
    <n v="5"/>
    <n v="100000"/>
    <n v="1"/>
    <n v="1"/>
    <s v="Procédu"/>
    <n v="1"/>
    <n v="3"/>
    <n v="1"/>
    <n v="2"/>
    <n v="1"/>
    <n v="1"/>
    <n v="1"/>
    <n v="0"/>
    <n v="1"/>
    <n v="4"/>
    <n v="1"/>
    <n v="0"/>
    <n v="1"/>
    <m/>
  </r>
  <r>
    <x v="12"/>
    <n v="24"/>
    <x v="1"/>
    <x v="0"/>
    <x v="3"/>
    <x v="1"/>
    <x v="0"/>
    <n v="3"/>
    <x v="1"/>
    <n v="2"/>
    <n v="30000"/>
    <n v="2"/>
    <n v="1"/>
    <s v="Montant"/>
    <n v="0"/>
    <n v="1"/>
    <n v="0"/>
    <n v="1"/>
    <n v="0"/>
    <n v="1"/>
    <n v="1"/>
    <n v="1"/>
    <n v="1"/>
    <n v="4"/>
    <n v="1"/>
    <n v="1"/>
    <n v="1"/>
    <m/>
  </r>
  <r>
    <x v="13"/>
    <n v="39"/>
    <x v="0"/>
    <x v="2"/>
    <x v="1"/>
    <x v="1"/>
    <x v="0"/>
    <n v="2"/>
    <x v="2"/>
    <n v="1"/>
    <n v="50000"/>
    <n v="1"/>
    <n v="0"/>
    <m/>
    <n v="1"/>
    <n v="1"/>
    <n v="1"/>
    <n v="2"/>
    <n v="1"/>
    <n v="0"/>
    <n v="1"/>
    <n v="1"/>
    <n v="1"/>
    <n v="4"/>
    <n v="1"/>
    <n v="0"/>
    <n v="1"/>
    <m/>
  </r>
  <r>
    <x v="14"/>
    <n v="35"/>
    <x v="2"/>
    <x v="0"/>
    <x v="0"/>
    <x v="2"/>
    <x v="1"/>
    <n v="3"/>
    <x v="0"/>
    <n v="3"/>
    <n v="150000"/>
    <n v="2"/>
    <n v="1"/>
    <s v="Procédu"/>
    <n v="1"/>
    <n v="2"/>
    <n v="1"/>
    <n v="1"/>
    <n v="1"/>
    <n v="1"/>
    <n v="1"/>
    <n v="1"/>
    <n v="1"/>
    <n v="3"/>
    <n v="1"/>
    <n v="0"/>
    <n v="0"/>
    <m/>
  </r>
  <r>
    <x v="15"/>
    <n v="25"/>
    <x v="1"/>
    <x v="0"/>
    <x v="0"/>
    <x v="0"/>
    <x v="0"/>
    <n v="1"/>
    <x v="3"/>
    <n v="4"/>
    <n v="30000"/>
    <n v="2"/>
    <n v="0"/>
    <m/>
    <n v="1"/>
    <n v="1"/>
    <n v="0"/>
    <n v="2"/>
    <n v="0"/>
    <n v="1"/>
    <n v="1"/>
    <n v="1"/>
    <n v="1"/>
    <n v="4"/>
    <n v="0"/>
    <n v="0"/>
    <n v="1"/>
    <m/>
  </r>
  <r>
    <x v="16"/>
    <n v="38"/>
    <x v="0"/>
    <x v="0"/>
    <x v="2"/>
    <x v="1"/>
    <x v="1"/>
    <n v="4"/>
    <x v="2"/>
    <n v="2"/>
    <n v="100000"/>
    <n v="3"/>
    <n v="1"/>
    <s v="Procédu"/>
    <n v="1"/>
    <n v="2"/>
    <n v="1"/>
    <n v="2"/>
    <n v="0"/>
    <n v="1"/>
    <n v="1"/>
    <n v="0"/>
    <n v="1"/>
    <n v="4"/>
    <n v="0"/>
    <n v="0"/>
    <n v="1"/>
    <m/>
  </r>
  <r>
    <x v="17"/>
    <n v="31"/>
    <x v="2"/>
    <x v="2"/>
    <x v="2"/>
    <x v="1"/>
    <x v="0"/>
    <n v="3"/>
    <x v="0"/>
    <n v="3"/>
    <n v="40000"/>
    <n v="1"/>
    <n v="1"/>
    <s v="Délai l"/>
    <n v="1"/>
    <n v="3"/>
    <n v="0"/>
    <n v="1"/>
    <n v="1"/>
    <n v="1"/>
    <n v="1"/>
    <n v="0"/>
    <n v="1"/>
    <n v="4"/>
    <n v="1"/>
    <n v="0"/>
    <n v="0"/>
    <m/>
  </r>
  <r>
    <x v="18"/>
    <n v="43"/>
    <x v="0"/>
    <x v="0"/>
    <x v="0"/>
    <x v="1"/>
    <x v="1"/>
    <n v="1"/>
    <x v="2"/>
    <n v="2"/>
    <n v="120000"/>
    <n v="1"/>
    <n v="1"/>
    <s v="Taux d'i"/>
    <n v="1"/>
    <n v="1"/>
    <n v="1"/>
    <n v="2"/>
    <n v="1"/>
    <n v="1"/>
    <n v="1"/>
    <n v="0"/>
    <n v="1"/>
    <n v="4"/>
    <n v="1"/>
    <n v="0"/>
    <n v="1"/>
    <m/>
  </r>
  <r>
    <x v="19"/>
    <n v="28"/>
    <x v="2"/>
    <x v="1"/>
    <x v="0"/>
    <x v="2"/>
    <x v="0"/>
    <n v="3"/>
    <x v="1"/>
    <n v="4"/>
    <n v="30000"/>
    <n v="1"/>
    <n v="1"/>
    <s v="Procédu"/>
    <n v="1"/>
    <n v="3"/>
    <n v="0"/>
    <n v="1"/>
    <n v="0"/>
    <n v="0"/>
    <n v="1"/>
    <n v="1"/>
    <n v="1"/>
    <n v="3"/>
    <n v="0"/>
    <n v="1"/>
    <n v="1"/>
    <m/>
  </r>
  <r>
    <x v="20"/>
    <n v="36"/>
    <x v="0"/>
    <x v="2"/>
    <x v="0"/>
    <x v="0"/>
    <x v="0"/>
    <n v="3"/>
    <x v="0"/>
    <n v="5"/>
    <n v="40000"/>
    <n v="2"/>
    <n v="0"/>
    <m/>
    <n v="1"/>
    <n v="2"/>
    <n v="1"/>
    <n v="1"/>
    <n v="1"/>
    <n v="1"/>
    <n v="1"/>
    <n v="0"/>
    <n v="1"/>
    <n v="3"/>
    <n v="1"/>
    <n v="0"/>
    <n v="1"/>
    <m/>
  </r>
  <r>
    <x v="21"/>
    <n v="47"/>
    <x v="3"/>
    <x v="0"/>
    <x v="2"/>
    <x v="2"/>
    <x v="0"/>
    <n v="2"/>
    <x v="0"/>
    <n v="1"/>
    <n v="50000"/>
    <n v="1"/>
    <n v="0"/>
    <m/>
    <n v="1"/>
    <n v="2"/>
    <n v="0"/>
    <n v="1"/>
    <n v="1"/>
    <n v="1"/>
    <n v="1"/>
    <n v="1"/>
    <n v="1"/>
    <n v="2"/>
    <n v="0"/>
    <n v="0"/>
    <n v="1"/>
    <m/>
  </r>
  <r>
    <x v="22"/>
    <n v="21"/>
    <x v="1"/>
    <x v="0"/>
    <x v="2"/>
    <x v="1"/>
    <x v="1"/>
    <n v="2"/>
    <x v="1"/>
    <n v="3"/>
    <n v="100000"/>
    <n v="2"/>
    <n v="1"/>
    <s v="Procédu"/>
    <n v="0"/>
    <n v="1"/>
    <n v="1"/>
    <n v="2"/>
    <n v="0"/>
    <n v="1"/>
    <n v="1"/>
    <n v="1"/>
    <n v="1"/>
    <n v="4"/>
    <n v="0"/>
    <n v="0"/>
    <n v="0"/>
    <m/>
  </r>
  <r>
    <x v="23"/>
    <n v="40"/>
    <x v="0"/>
    <x v="2"/>
    <x v="0"/>
    <x v="1"/>
    <x v="1"/>
    <n v="1"/>
    <x v="2"/>
    <n v="2"/>
    <n v="150000"/>
    <n v="2"/>
    <n v="1"/>
    <s v="Délais"/>
    <n v="1"/>
    <n v="3"/>
    <n v="1"/>
    <n v="1"/>
    <n v="1"/>
    <n v="1"/>
    <n v="1"/>
    <n v="1"/>
    <n v="0"/>
    <n v="1"/>
    <n v="1"/>
    <n v="0"/>
    <n v="1"/>
    <m/>
  </r>
  <r>
    <x v="24"/>
    <n v="37"/>
    <x v="0"/>
    <x v="0"/>
    <x v="0"/>
    <x v="1"/>
    <x v="1"/>
    <n v="2"/>
    <x v="0"/>
    <n v="3"/>
    <n v="150000"/>
    <n v="3"/>
    <n v="1"/>
    <s v="Taux d'i"/>
    <n v="1"/>
    <n v="1"/>
    <n v="1"/>
    <n v="1"/>
    <n v="0"/>
    <n v="1"/>
    <n v="1"/>
    <n v="1"/>
    <n v="1"/>
    <n v="4"/>
    <n v="0"/>
    <n v="1"/>
    <n v="1"/>
    <m/>
  </r>
  <r>
    <x v="25"/>
    <n v="49"/>
    <x v="3"/>
    <x v="1"/>
    <x v="2"/>
    <x v="0"/>
    <x v="0"/>
    <n v="3"/>
    <x v="0"/>
    <n v="4"/>
    <n v="30000"/>
    <n v="1"/>
    <n v="1"/>
    <s v="Procédu"/>
    <n v="1"/>
    <n v="2"/>
    <n v="1"/>
    <n v="2"/>
    <n v="0"/>
    <n v="1"/>
    <n v="1"/>
    <n v="1"/>
    <n v="1"/>
    <n v="2"/>
    <n v="1"/>
    <n v="0"/>
    <n v="1"/>
    <m/>
  </r>
  <r>
    <x v="26"/>
    <n v="29"/>
    <x v="2"/>
    <x v="0"/>
    <x v="0"/>
    <x v="2"/>
    <x v="1"/>
    <n v="2"/>
    <x v="1"/>
    <n v="1"/>
    <n v="100000"/>
    <n v="1"/>
    <n v="0"/>
    <m/>
    <n v="1"/>
    <n v="1"/>
    <n v="1"/>
    <n v="2"/>
    <n v="1"/>
    <n v="1"/>
    <n v="1"/>
    <n v="1"/>
    <n v="1"/>
    <n v="4"/>
    <n v="0"/>
    <n v="0"/>
    <n v="0"/>
    <m/>
  </r>
  <r>
    <x v="27"/>
    <n v="35"/>
    <x v="2"/>
    <x v="1"/>
    <x v="0"/>
    <x v="0"/>
    <x v="0"/>
    <n v="3"/>
    <x v="2"/>
    <n v="2"/>
    <n v="50000"/>
    <n v="2"/>
    <n v="0"/>
    <m/>
    <n v="1"/>
    <n v="3"/>
    <n v="0"/>
    <n v="2"/>
    <n v="1"/>
    <n v="1"/>
    <n v="1"/>
    <n v="1"/>
    <n v="0"/>
    <n v="3"/>
    <n v="1"/>
    <n v="0"/>
    <n v="1"/>
    <m/>
  </r>
  <r>
    <x v="28"/>
    <n v="38"/>
    <x v="0"/>
    <x v="0"/>
    <x v="2"/>
    <x v="1"/>
    <x v="1"/>
    <n v="2"/>
    <x v="2"/>
    <n v="2"/>
    <n v="120000"/>
    <n v="1"/>
    <n v="1"/>
    <s v="Montant"/>
    <n v="1"/>
    <n v="1"/>
    <n v="1"/>
    <n v="3"/>
    <n v="0"/>
    <n v="0"/>
    <n v="1"/>
    <n v="1"/>
    <n v="1"/>
    <n v="4"/>
    <n v="0"/>
    <n v="0"/>
    <n v="1"/>
    <m/>
  </r>
  <r>
    <x v="29"/>
    <n v="36"/>
    <x v="0"/>
    <x v="0"/>
    <x v="2"/>
    <x v="1"/>
    <x v="1"/>
    <n v="3"/>
    <x v="0"/>
    <n v="3"/>
    <n v="100000"/>
    <n v="2"/>
    <n v="1"/>
    <s v="Procédu"/>
    <n v="1"/>
    <n v="2"/>
    <n v="1"/>
    <n v="1"/>
    <n v="1"/>
    <n v="1"/>
    <n v="1"/>
    <n v="1"/>
    <n v="1"/>
    <n v="4"/>
    <n v="1"/>
    <n v="0"/>
    <n v="1"/>
    <m/>
  </r>
  <r>
    <x v="30"/>
    <n v="26"/>
    <x v="2"/>
    <x v="2"/>
    <x v="0"/>
    <x v="0"/>
    <x v="0"/>
    <n v="1"/>
    <x v="0"/>
    <n v="4"/>
    <n v="40000"/>
    <n v="2"/>
    <n v="1"/>
    <s v="Taux d'i"/>
    <n v="1"/>
    <n v="1"/>
    <n v="0"/>
    <n v="1"/>
    <n v="1"/>
    <n v="1"/>
    <n v="1"/>
    <n v="1"/>
    <n v="1"/>
    <n v="4"/>
    <n v="1"/>
    <n v="0"/>
    <n v="1"/>
    <m/>
  </r>
  <r>
    <x v="31"/>
    <n v="30"/>
    <x v="2"/>
    <x v="1"/>
    <x v="0"/>
    <x v="1"/>
    <x v="0"/>
    <n v="3"/>
    <x v="0"/>
    <n v="3"/>
    <n v="50000"/>
    <n v="1"/>
    <n v="1"/>
    <s v="Procédu"/>
    <n v="0"/>
    <n v="2"/>
    <n v="1"/>
    <n v="2"/>
    <n v="0"/>
    <n v="1"/>
    <n v="1"/>
    <n v="1"/>
    <n v="1"/>
    <n v="4"/>
    <n v="1"/>
    <n v="0"/>
    <n v="1"/>
    <m/>
  </r>
  <r>
    <x v="32"/>
    <n v="27"/>
    <x v="2"/>
    <x v="0"/>
    <x v="2"/>
    <x v="1"/>
    <x v="1"/>
    <n v="2"/>
    <x v="0"/>
    <n v="5"/>
    <n v="100000"/>
    <n v="3"/>
    <n v="1"/>
    <s v="Procédu"/>
    <n v="1"/>
    <n v="3"/>
    <n v="1"/>
    <n v="2"/>
    <n v="1"/>
    <n v="1"/>
    <n v="1"/>
    <n v="1"/>
    <n v="1"/>
    <n v="4"/>
    <n v="1"/>
    <n v="0"/>
    <n v="0"/>
    <m/>
  </r>
  <r>
    <x v="33"/>
    <n v="45"/>
    <x v="0"/>
    <x v="0"/>
    <x v="0"/>
    <x v="2"/>
    <x v="1"/>
    <n v="3"/>
    <x v="1"/>
    <n v="2"/>
    <n v="150000"/>
    <n v="1"/>
    <n v="0"/>
    <m/>
    <n v="1"/>
    <n v="1"/>
    <n v="1"/>
    <n v="3"/>
    <n v="0"/>
    <n v="1"/>
    <n v="1"/>
    <n v="1"/>
    <n v="1"/>
    <n v="4"/>
    <n v="1"/>
    <n v="0"/>
    <n v="1"/>
    <m/>
  </r>
  <r>
    <x v="34"/>
    <n v="35"/>
    <x v="2"/>
    <x v="2"/>
    <x v="0"/>
    <x v="1"/>
    <x v="0"/>
    <n v="1"/>
    <x v="1"/>
    <n v="5"/>
    <n v="20000"/>
    <n v="2"/>
    <n v="1"/>
    <s v="Procédu"/>
    <n v="1"/>
    <n v="2"/>
    <n v="1"/>
    <n v="1"/>
    <n v="1"/>
    <n v="0"/>
    <n v="1"/>
    <n v="1"/>
    <n v="1"/>
    <n v="2"/>
    <n v="1"/>
    <n v="1"/>
    <n v="1"/>
    <m/>
  </r>
  <r>
    <x v="35"/>
    <n v="42"/>
    <x v="0"/>
    <x v="1"/>
    <x v="2"/>
    <x v="1"/>
    <x v="1"/>
    <n v="1"/>
    <x v="0"/>
    <n v="5"/>
    <n v="130000"/>
    <n v="1"/>
    <n v="1"/>
    <s v="Taux d'i"/>
    <n v="1"/>
    <n v="3"/>
    <n v="0"/>
    <n v="2"/>
    <n v="0"/>
    <n v="1"/>
    <n v="1"/>
    <n v="1"/>
    <n v="1"/>
    <n v="3"/>
    <n v="0"/>
    <n v="0"/>
    <n v="1"/>
    <m/>
  </r>
  <r>
    <x v="36"/>
    <n v="46"/>
    <x v="3"/>
    <x v="2"/>
    <x v="2"/>
    <x v="0"/>
    <x v="0"/>
    <n v="3"/>
    <x v="0"/>
    <n v="4"/>
    <n v="30000"/>
    <n v="2"/>
    <n v="1"/>
    <s v="Montant"/>
    <n v="1"/>
    <n v="3"/>
    <n v="1"/>
    <n v="1"/>
    <n v="1"/>
    <n v="1"/>
    <n v="1"/>
    <n v="1"/>
    <n v="1"/>
    <n v="4"/>
    <n v="0"/>
    <n v="0"/>
    <n v="1"/>
    <m/>
  </r>
  <r>
    <x v="37"/>
    <n v="37"/>
    <x v="0"/>
    <x v="0"/>
    <x v="0"/>
    <x v="1"/>
    <x v="1"/>
    <n v="2"/>
    <x v="0"/>
    <n v="3"/>
    <n v="200000"/>
    <n v="2"/>
    <n v="0"/>
    <m/>
    <n v="1"/>
    <n v="2"/>
    <n v="1"/>
    <n v="2"/>
    <n v="1"/>
    <n v="1"/>
    <n v="1"/>
    <n v="1"/>
    <n v="1"/>
    <n v="1"/>
    <n v="0"/>
    <n v="0"/>
    <n v="0"/>
    <m/>
  </r>
  <r>
    <x v="38"/>
    <n v="26"/>
    <x v="2"/>
    <x v="2"/>
    <x v="0"/>
    <x v="1"/>
    <x v="1"/>
    <n v="3"/>
    <x v="1"/>
    <n v="3"/>
    <n v="250000"/>
    <n v="2"/>
    <n v="1"/>
    <s v="Procédu"/>
    <n v="1"/>
    <n v="1"/>
    <n v="1"/>
    <n v="2"/>
    <n v="1"/>
    <n v="1"/>
    <n v="1"/>
    <n v="1"/>
    <n v="1"/>
    <n v="1"/>
    <n v="0"/>
    <n v="0"/>
    <n v="0"/>
    <m/>
  </r>
  <r>
    <x v="39"/>
    <n v="48"/>
    <x v="3"/>
    <x v="0"/>
    <x v="2"/>
    <x v="2"/>
    <x v="1"/>
    <n v="3"/>
    <x v="2"/>
    <n v="1"/>
    <n v="190000"/>
    <n v="2"/>
    <n v="1"/>
    <s v="Procédu"/>
    <n v="1"/>
    <n v="1"/>
    <n v="0"/>
    <n v="1"/>
    <n v="0"/>
    <n v="1"/>
    <n v="1"/>
    <n v="1"/>
    <n v="1"/>
    <n v="2"/>
    <n v="1"/>
    <n v="0"/>
    <n v="1"/>
    <m/>
  </r>
  <r>
    <x v="40"/>
    <n v="50"/>
    <x v="3"/>
    <x v="1"/>
    <x v="0"/>
    <x v="1"/>
    <x v="0"/>
    <n v="4"/>
    <x v="2"/>
    <n v="3"/>
    <n v="40000"/>
    <n v="1"/>
    <n v="1"/>
    <s v="Taux d'i"/>
    <n v="1"/>
    <n v="1"/>
    <n v="1"/>
    <n v="1"/>
    <n v="1"/>
    <n v="0"/>
    <n v="1"/>
    <n v="0"/>
    <n v="1"/>
    <n v="3"/>
    <n v="1"/>
    <n v="0"/>
    <n v="1"/>
    <m/>
  </r>
  <r>
    <x v="41"/>
    <n v="32"/>
    <x v="2"/>
    <x v="2"/>
    <x v="1"/>
    <x v="1"/>
    <x v="1"/>
    <n v="2"/>
    <x v="0"/>
    <n v="4"/>
    <n v="150000"/>
    <n v="2"/>
    <n v="0"/>
    <m/>
    <n v="1"/>
    <n v="3"/>
    <n v="0"/>
    <n v="2"/>
    <n v="1"/>
    <n v="1"/>
    <n v="1"/>
    <n v="1"/>
    <n v="1"/>
    <n v="3"/>
    <n v="1"/>
    <n v="0"/>
    <n v="1"/>
    <m/>
  </r>
  <r>
    <x v="42"/>
    <n v="26"/>
    <x v="2"/>
    <x v="0"/>
    <x v="1"/>
    <x v="1"/>
    <x v="0"/>
    <n v="1"/>
    <x v="1"/>
    <n v="5"/>
    <n v="50000"/>
    <n v="1"/>
    <n v="1"/>
    <s v="Taux d'i"/>
    <n v="1"/>
    <n v="2"/>
    <n v="1"/>
    <n v="1"/>
    <n v="1"/>
    <n v="1"/>
    <n v="0"/>
    <n v="0"/>
    <n v="1"/>
    <n v="2"/>
    <n v="0"/>
    <n v="0"/>
    <n v="1"/>
    <m/>
  </r>
  <r>
    <x v="43"/>
    <n v="34"/>
    <x v="2"/>
    <x v="2"/>
    <x v="3"/>
    <x v="0"/>
    <x v="0"/>
    <n v="3"/>
    <x v="0"/>
    <n v="3"/>
    <n v="30000"/>
    <n v="3"/>
    <n v="0"/>
    <m/>
    <n v="1"/>
    <n v="1"/>
    <n v="0"/>
    <n v="2"/>
    <n v="1"/>
    <n v="0"/>
    <n v="1"/>
    <n v="1"/>
    <n v="1"/>
    <n v="4"/>
    <n v="1"/>
    <n v="0"/>
    <n v="0"/>
    <m/>
  </r>
  <r>
    <x v="44"/>
    <n v="24"/>
    <x v="1"/>
    <x v="2"/>
    <x v="1"/>
    <x v="1"/>
    <x v="1"/>
    <n v="3"/>
    <x v="1"/>
    <n v="2"/>
    <n v="200000"/>
    <n v="1"/>
    <n v="1"/>
    <s v="Taux d'i"/>
    <n v="0"/>
    <n v="2"/>
    <n v="1"/>
    <n v="1"/>
    <n v="1"/>
    <n v="0"/>
    <n v="0"/>
    <n v="0"/>
    <n v="1"/>
    <n v="4"/>
    <n v="1"/>
    <n v="0"/>
    <n v="1"/>
    <m/>
  </r>
  <r>
    <x v="45"/>
    <n v="39"/>
    <x v="0"/>
    <x v="0"/>
    <x v="2"/>
    <x v="1"/>
    <x v="0"/>
    <n v="2"/>
    <x v="0"/>
    <n v="1"/>
    <n v="40000"/>
    <n v="1"/>
    <n v="1"/>
    <s v="Délai l"/>
    <n v="1"/>
    <n v="1"/>
    <n v="1"/>
    <n v="2"/>
    <n v="0"/>
    <n v="1"/>
    <n v="1"/>
    <n v="0"/>
    <n v="1"/>
    <n v="4"/>
    <n v="0"/>
    <n v="0"/>
    <n v="1"/>
    <m/>
  </r>
  <r>
    <x v="46"/>
    <n v="28"/>
    <x v="2"/>
    <x v="1"/>
    <x v="0"/>
    <x v="1"/>
    <x v="1"/>
    <n v="3"/>
    <x v="1"/>
    <n v="3"/>
    <n v="150000"/>
    <n v="2"/>
    <n v="1"/>
    <s v="Délai l"/>
    <n v="1"/>
    <n v="3"/>
    <n v="0"/>
    <n v="1"/>
    <n v="1"/>
    <n v="1"/>
    <n v="1"/>
    <n v="1"/>
    <n v="1"/>
    <n v="1"/>
    <n v="1"/>
    <n v="0"/>
    <n v="0"/>
    <m/>
  </r>
  <r>
    <x v="47"/>
    <n v="46"/>
    <x v="3"/>
    <x v="0"/>
    <x v="2"/>
    <x v="2"/>
    <x v="0"/>
    <n v="3"/>
    <x v="2"/>
    <n v="4"/>
    <n v="50000"/>
    <n v="1"/>
    <n v="0"/>
    <m/>
    <n v="1"/>
    <n v="2"/>
    <n v="1"/>
    <n v="1"/>
    <n v="0"/>
    <n v="0"/>
    <n v="0"/>
    <n v="0"/>
    <n v="1"/>
    <n v="4"/>
    <n v="1"/>
    <n v="0"/>
    <n v="1"/>
    <m/>
  </r>
  <r>
    <x v="48"/>
    <n v="35"/>
    <x v="2"/>
    <x v="1"/>
    <x v="0"/>
    <x v="1"/>
    <x v="1"/>
    <n v="1"/>
    <x v="0"/>
    <n v="2"/>
    <n v="200000"/>
    <n v="2"/>
    <n v="1"/>
    <s v="Procédu"/>
    <n v="1"/>
    <n v="1"/>
    <n v="1"/>
    <n v="2"/>
    <n v="1"/>
    <n v="0"/>
    <n v="1"/>
    <n v="1"/>
    <n v="1"/>
    <n v="4"/>
    <n v="0"/>
    <n v="0"/>
    <n v="1"/>
    <m/>
  </r>
  <r>
    <x v="49"/>
    <n v="28"/>
    <x v="2"/>
    <x v="2"/>
    <x v="2"/>
    <x v="1"/>
    <x v="0"/>
    <n v="2"/>
    <x v="1"/>
    <n v="2"/>
    <n v="30000"/>
    <n v="2"/>
    <n v="1"/>
    <s v="Montant"/>
    <n v="1"/>
    <n v="1"/>
    <n v="0"/>
    <n v="1"/>
    <n v="1"/>
    <n v="0"/>
    <n v="1"/>
    <n v="1"/>
    <n v="1"/>
    <n v="4"/>
    <n v="0"/>
    <n v="0"/>
    <n v="0"/>
    <m/>
  </r>
  <r>
    <x v="50"/>
    <n v="37"/>
    <x v="0"/>
    <x v="0"/>
    <x v="3"/>
    <x v="2"/>
    <x v="1"/>
    <n v="1"/>
    <x v="1"/>
    <n v="3"/>
    <n v="250000"/>
    <n v="2"/>
    <n v="1"/>
    <s v="Taux d'i"/>
    <n v="1"/>
    <n v="1"/>
    <n v="1"/>
    <n v="1"/>
    <n v="1"/>
    <n v="1"/>
    <n v="1"/>
    <n v="1"/>
    <n v="0"/>
    <n v="3"/>
    <n v="1"/>
    <n v="1"/>
    <n v="1"/>
    <m/>
  </r>
  <r>
    <x v="51"/>
    <n v="33"/>
    <x v="2"/>
    <x v="0"/>
    <x v="2"/>
    <x v="1"/>
    <x v="0"/>
    <n v="3"/>
    <x v="0"/>
    <n v="5"/>
    <n v="40000"/>
    <n v="1"/>
    <n v="0"/>
    <m/>
    <n v="1"/>
    <n v="2"/>
    <n v="1"/>
    <n v="2"/>
    <n v="1"/>
    <n v="1"/>
    <n v="1"/>
    <n v="1"/>
    <n v="1"/>
    <n v="3"/>
    <n v="0"/>
    <n v="0"/>
    <n v="1"/>
    <m/>
  </r>
  <r>
    <x v="52"/>
    <n v="39"/>
    <x v="0"/>
    <x v="2"/>
    <x v="0"/>
    <x v="1"/>
    <x v="1"/>
    <n v="3"/>
    <x v="1"/>
    <n v="2"/>
    <n v="300000"/>
    <n v="1"/>
    <n v="1"/>
    <s v="Taux d'i"/>
    <n v="1"/>
    <n v="1"/>
    <n v="1"/>
    <n v="2"/>
    <n v="0"/>
    <n v="1"/>
    <n v="1"/>
    <n v="1"/>
    <n v="1"/>
    <n v="2"/>
    <n v="1"/>
    <n v="0"/>
    <n v="1"/>
    <m/>
  </r>
  <r>
    <x v="53"/>
    <n v="41"/>
    <x v="0"/>
    <x v="0"/>
    <x v="1"/>
    <x v="1"/>
    <x v="1"/>
    <n v="2"/>
    <x v="2"/>
    <n v="5"/>
    <n v="200000"/>
    <n v="2"/>
    <n v="1"/>
    <s v="Taux d'i"/>
    <n v="1"/>
    <n v="1"/>
    <n v="0"/>
    <n v="1"/>
    <n v="1"/>
    <n v="0"/>
    <n v="1"/>
    <n v="1"/>
    <n v="1"/>
    <n v="1"/>
    <n v="0"/>
    <n v="0"/>
    <n v="1"/>
    <m/>
  </r>
  <r>
    <x v="54"/>
    <n v="25"/>
    <x v="1"/>
    <x v="0"/>
    <x v="3"/>
    <x v="2"/>
    <x v="1"/>
    <n v="3"/>
    <x v="1"/>
    <n v="5"/>
    <n v="150000"/>
    <n v="1"/>
    <n v="1"/>
    <s v="Procédu"/>
    <n v="0"/>
    <n v="2"/>
    <n v="1"/>
    <n v="2"/>
    <n v="1"/>
    <n v="1"/>
    <n v="1"/>
    <n v="1"/>
    <n v="1"/>
    <n v="4"/>
    <n v="1"/>
    <n v="0"/>
    <n v="1"/>
    <m/>
  </r>
  <r>
    <x v="55"/>
    <n v="45"/>
    <x v="0"/>
    <x v="1"/>
    <x v="2"/>
    <x v="1"/>
    <x v="0"/>
    <n v="2"/>
    <x v="0"/>
    <n v="4"/>
    <n v="40000"/>
    <n v="3"/>
    <n v="0"/>
    <m/>
    <n v="1"/>
    <n v="1"/>
    <n v="1"/>
    <n v="2"/>
    <n v="1"/>
    <n v="0"/>
    <n v="1"/>
    <n v="1"/>
    <n v="1"/>
    <n v="4"/>
    <n v="0"/>
    <n v="0"/>
    <n v="0"/>
    <m/>
  </r>
  <r>
    <x v="56"/>
    <n v="28"/>
    <x v="2"/>
    <x v="0"/>
    <x v="1"/>
    <x v="1"/>
    <x v="1"/>
    <n v="1"/>
    <x v="1"/>
    <n v="3"/>
    <n v="150000"/>
    <n v="1"/>
    <n v="1"/>
    <s v="Procédu"/>
    <n v="1"/>
    <n v="1"/>
    <n v="1"/>
    <n v="3"/>
    <n v="0"/>
    <n v="0"/>
    <n v="1"/>
    <n v="1"/>
    <n v="1"/>
    <n v="4"/>
    <n v="0"/>
    <n v="0"/>
    <n v="0"/>
    <m/>
  </r>
  <r>
    <x v="57"/>
    <n v="46"/>
    <x v="3"/>
    <x v="2"/>
    <x v="0"/>
    <x v="1"/>
    <x v="1"/>
    <n v="3"/>
    <x v="0"/>
    <n v="5"/>
    <n v="100000"/>
    <n v="1"/>
    <n v="0"/>
    <m/>
    <n v="1"/>
    <n v="1"/>
    <n v="1"/>
    <n v="2"/>
    <n v="1"/>
    <n v="1"/>
    <n v="1"/>
    <n v="1"/>
    <n v="1"/>
    <n v="4"/>
    <n v="1"/>
    <n v="0"/>
    <n v="1"/>
    <m/>
  </r>
  <r>
    <x v="58"/>
    <n v="25"/>
    <x v="1"/>
    <x v="0"/>
    <x v="2"/>
    <x v="0"/>
    <x v="0"/>
    <n v="1"/>
    <x v="1"/>
    <n v="2"/>
    <n v="20000"/>
    <n v="1"/>
    <n v="1"/>
    <s v="Délai l"/>
    <n v="1"/>
    <n v="2"/>
    <n v="0"/>
    <n v="1"/>
    <n v="1"/>
    <n v="1"/>
    <n v="1"/>
    <n v="1"/>
    <n v="1"/>
    <n v="4"/>
    <n v="1"/>
    <n v="0"/>
    <n v="1"/>
    <m/>
  </r>
  <r>
    <x v="59"/>
    <n v="26"/>
    <x v="2"/>
    <x v="0"/>
    <x v="1"/>
    <x v="1"/>
    <x v="1"/>
    <n v="3"/>
    <x v="1"/>
    <n v="4"/>
    <n v="100000"/>
    <n v="2"/>
    <n v="1"/>
    <s v="Procédu"/>
    <n v="1"/>
    <n v="1"/>
    <n v="1"/>
    <n v="2"/>
    <n v="1"/>
    <n v="0"/>
    <n v="1"/>
    <n v="1"/>
    <n v="1"/>
    <n v="2"/>
    <n v="1"/>
    <n v="0"/>
    <n v="0"/>
    <m/>
  </r>
  <r>
    <x v="60"/>
    <n v="32"/>
    <x v="2"/>
    <x v="1"/>
    <x v="2"/>
    <x v="1"/>
    <x v="0"/>
    <n v="2"/>
    <x v="2"/>
    <n v="3"/>
    <n v="50000"/>
    <n v="1"/>
    <n v="1"/>
    <s v="Procédu"/>
    <n v="1"/>
    <n v="3"/>
    <n v="1"/>
    <n v="3"/>
    <n v="0"/>
    <n v="0"/>
    <n v="1"/>
    <n v="1"/>
    <n v="0"/>
    <n v="3"/>
    <n v="1"/>
    <n v="0"/>
    <n v="0"/>
    <m/>
  </r>
  <r>
    <x v="61"/>
    <n v="34"/>
    <x v="2"/>
    <x v="0"/>
    <x v="3"/>
    <x v="0"/>
    <x v="1"/>
    <n v="2"/>
    <x v="0"/>
    <n v="2"/>
    <n v="150000"/>
    <n v="2"/>
    <n v="0"/>
    <m/>
    <n v="0"/>
    <n v="1"/>
    <n v="1"/>
    <n v="3"/>
    <n v="0"/>
    <n v="0"/>
    <n v="1"/>
    <n v="1"/>
    <n v="1"/>
    <n v="2"/>
    <n v="1"/>
    <n v="0"/>
    <n v="1"/>
    <m/>
  </r>
  <r>
    <x v="62"/>
    <n v="46"/>
    <x v="3"/>
    <x v="2"/>
    <x v="2"/>
    <x v="1"/>
    <x v="1"/>
    <n v="3"/>
    <x v="0"/>
    <n v="3"/>
    <n v="150000"/>
    <n v="1"/>
    <n v="1"/>
    <s v="Taux d'i"/>
    <n v="1"/>
    <n v="1"/>
    <n v="1"/>
    <n v="1"/>
    <n v="1"/>
    <n v="0"/>
    <n v="1"/>
    <n v="1"/>
    <n v="1"/>
    <n v="4"/>
    <n v="1"/>
    <n v="0"/>
    <n v="1"/>
    <m/>
  </r>
  <r>
    <x v="63"/>
    <n v="26"/>
    <x v="2"/>
    <x v="0"/>
    <x v="0"/>
    <x v="1"/>
    <x v="1"/>
    <n v="1"/>
    <x v="1"/>
    <n v="4"/>
    <n v="200000"/>
    <n v="1"/>
    <n v="0"/>
    <m/>
    <n v="1"/>
    <n v="1"/>
    <n v="0"/>
    <n v="2"/>
    <n v="1"/>
    <n v="1"/>
    <n v="1"/>
    <n v="1"/>
    <n v="1"/>
    <n v="4"/>
    <n v="0"/>
    <n v="0"/>
    <n v="1"/>
    <m/>
  </r>
  <r>
    <x v="64"/>
    <n v="33"/>
    <x v="2"/>
    <x v="0"/>
    <x v="2"/>
    <x v="1"/>
    <x v="0"/>
    <n v="3"/>
    <x v="0"/>
    <n v="2"/>
    <n v="40000"/>
    <n v="1"/>
    <n v="1"/>
    <s v="Taux d'i"/>
    <n v="1"/>
    <n v="1"/>
    <n v="1"/>
    <n v="1"/>
    <n v="1"/>
    <n v="1"/>
    <n v="1"/>
    <n v="1"/>
    <n v="1"/>
    <n v="4"/>
    <n v="1"/>
    <n v="0"/>
    <n v="1"/>
    <m/>
  </r>
  <r>
    <x v="65"/>
    <n v="39"/>
    <x v="0"/>
    <x v="1"/>
    <x v="1"/>
    <x v="0"/>
    <x v="0"/>
    <n v="3"/>
    <x v="0"/>
    <n v="3"/>
    <n v="40000"/>
    <n v="2"/>
    <n v="1"/>
    <s v="Procédu"/>
    <n v="1"/>
    <n v="3"/>
    <n v="1"/>
    <n v="2"/>
    <n v="1"/>
    <n v="1"/>
    <n v="1"/>
    <n v="1"/>
    <n v="1"/>
    <n v="2"/>
    <n v="1"/>
    <n v="0"/>
    <n v="1"/>
    <m/>
  </r>
  <r>
    <x v="66"/>
    <n v="30"/>
    <x v="2"/>
    <x v="2"/>
    <x v="2"/>
    <x v="1"/>
    <x v="1"/>
    <n v="1"/>
    <x v="0"/>
    <n v="1"/>
    <n v="250000"/>
    <n v="2"/>
    <n v="1"/>
    <s v="Procédu"/>
    <n v="1"/>
    <n v="1"/>
    <n v="1"/>
    <n v="2"/>
    <n v="1"/>
    <n v="0"/>
    <n v="1"/>
    <n v="1"/>
    <n v="1"/>
    <n v="4"/>
    <n v="0"/>
    <n v="0"/>
    <n v="0"/>
    <m/>
  </r>
  <r>
    <x v="67"/>
    <n v="28"/>
    <x v="2"/>
    <x v="0"/>
    <x v="3"/>
    <x v="0"/>
    <x v="0"/>
    <n v="3"/>
    <x v="1"/>
    <n v="2"/>
    <n v="30000"/>
    <n v="1"/>
    <n v="0"/>
    <m/>
    <n v="1"/>
    <n v="4"/>
    <n v="0"/>
    <n v="1"/>
    <n v="1"/>
    <n v="1"/>
    <n v="1"/>
    <n v="1"/>
    <n v="0"/>
    <n v="3"/>
    <n v="0"/>
    <n v="1"/>
    <n v="1"/>
    <m/>
  </r>
  <r>
    <x v="68"/>
    <n v="41"/>
    <x v="0"/>
    <x v="0"/>
    <x v="0"/>
    <x v="1"/>
    <x v="1"/>
    <n v="2"/>
    <x v="2"/>
    <n v="3"/>
    <n v="150000"/>
    <n v="1"/>
    <n v="1"/>
    <s v="Délai l"/>
    <n v="1"/>
    <n v="1"/>
    <n v="1"/>
    <n v="2"/>
    <n v="0"/>
    <n v="1"/>
    <n v="1"/>
    <n v="1"/>
    <n v="1"/>
    <n v="4"/>
    <n v="1"/>
    <n v="0"/>
    <n v="1"/>
    <m/>
  </r>
  <r>
    <x v="69"/>
    <n v="45"/>
    <x v="0"/>
    <x v="2"/>
    <x v="1"/>
    <x v="0"/>
    <x v="0"/>
    <n v="2"/>
    <x v="2"/>
    <n v="5"/>
    <n v="50000"/>
    <n v="3"/>
    <n v="0"/>
    <m/>
    <n v="1"/>
    <n v="2"/>
    <n v="0"/>
    <n v="2"/>
    <n v="1"/>
    <n v="0"/>
    <n v="1"/>
    <n v="1"/>
    <n v="1"/>
    <n v="3"/>
    <n v="1"/>
    <n v="0"/>
    <n v="1"/>
    <m/>
  </r>
  <r>
    <x v="70"/>
    <n v="50"/>
    <x v="3"/>
    <x v="0"/>
    <x v="0"/>
    <x v="0"/>
    <x v="1"/>
    <n v="1"/>
    <x v="3"/>
    <n v="5"/>
    <n v="300000"/>
    <n v="2"/>
    <n v="1"/>
    <s v="Taux d'i"/>
    <n v="0"/>
    <n v="2"/>
    <n v="1"/>
    <n v="1"/>
    <n v="1"/>
    <n v="1"/>
    <n v="1"/>
    <n v="1"/>
    <n v="1"/>
    <n v="2"/>
    <n v="0"/>
    <n v="0"/>
    <n v="1"/>
    <m/>
  </r>
  <r>
    <x v="71"/>
    <n v="37"/>
    <x v="0"/>
    <x v="1"/>
    <x v="2"/>
    <x v="2"/>
    <x v="1"/>
    <n v="3"/>
    <x v="0"/>
    <n v="3"/>
    <n v="250000"/>
    <n v="2"/>
    <n v="1"/>
    <s v="Procédu"/>
    <n v="1"/>
    <n v="3"/>
    <n v="1"/>
    <n v="2"/>
    <n v="1"/>
    <n v="0"/>
    <n v="0"/>
    <n v="0"/>
    <n v="1"/>
    <n v="3"/>
    <n v="0"/>
    <n v="0"/>
    <n v="1"/>
    <m/>
  </r>
  <r>
    <x v="72"/>
    <n v="29"/>
    <x v="2"/>
    <x v="0"/>
    <x v="2"/>
    <x v="1"/>
    <x v="1"/>
    <n v="2"/>
    <x v="1"/>
    <n v="2"/>
    <n v="250000"/>
    <n v="1"/>
    <n v="1"/>
    <s v="Procédu"/>
    <n v="1"/>
    <n v="3"/>
    <n v="0"/>
    <n v="3"/>
    <n v="0"/>
    <n v="1"/>
    <n v="1"/>
    <n v="0"/>
    <n v="1"/>
    <n v="1"/>
    <n v="1"/>
    <n v="0"/>
    <n v="1"/>
    <m/>
  </r>
  <r>
    <x v="73"/>
    <n v="43"/>
    <x v="0"/>
    <x v="2"/>
    <x v="1"/>
    <x v="1"/>
    <x v="0"/>
    <n v="1"/>
    <x v="2"/>
    <n v="5"/>
    <n v="40000"/>
    <n v="2"/>
    <n v="1"/>
    <s v="Montant"/>
    <n v="1"/>
    <n v="1"/>
    <n v="1"/>
    <n v="2"/>
    <n v="0"/>
    <n v="1"/>
    <n v="1"/>
    <n v="1"/>
    <n v="1"/>
    <n v="4"/>
    <n v="0"/>
    <n v="0"/>
    <n v="0"/>
    <m/>
  </r>
  <r>
    <x v="74"/>
    <n v="36"/>
    <x v="0"/>
    <x v="0"/>
    <x v="2"/>
    <x v="0"/>
    <x v="1"/>
    <n v="1"/>
    <x v="0"/>
    <n v="2"/>
    <n v="150000"/>
    <n v="1"/>
    <n v="1"/>
    <s v="Procédu"/>
    <n v="1"/>
    <n v="1"/>
    <n v="1"/>
    <n v="1"/>
    <n v="0"/>
    <n v="0"/>
    <n v="1"/>
    <n v="1"/>
    <n v="1"/>
    <n v="4"/>
    <n v="1"/>
    <n v="0"/>
    <n v="1"/>
    <m/>
  </r>
  <r>
    <x v="75"/>
    <n v="25"/>
    <x v="1"/>
    <x v="0"/>
    <x v="0"/>
    <x v="1"/>
    <x v="0"/>
    <n v="2"/>
    <x v="1"/>
    <n v="5"/>
    <n v="30000"/>
    <n v="1"/>
    <n v="0"/>
    <m/>
    <n v="1"/>
    <n v="1"/>
    <n v="1"/>
    <n v="3"/>
    <n v="1"/>
    <n v="1"/>
    <n v="1"/>
    <n v="1"/>
    <n v="1"/>
    <n v="4"/>
    <n v="1"/>
    <n v="0"/>
    <n v="0"/>
    <m/>
  </r>
  <r>
    <x v="76"/>
    <n v="49"/>
    <x v="3"/>
    <x v="0"/>
    <x v="0"/>
    <x v="1"/>
    <x v="1"/>
    <n v="2"/>
    <x v="2"/>
    <n v="3"/>
    <n v="200000"/>
    <n v="1"/>
    <n v="1"/>
    <s v="Procédu"/>
    <n v="1"/>
    <n v="1"/>
    <n v="0"/>
    <n v="1"/>
    <n v="1"/>
    <n v="0"/>
    <n v="1"/>
    <n v="1"/>
    <n v="1"/>
    <n v="4"/>
    <n v="0"/>
    <n v="0"/>
    <n v="0"/>
    <m/>
  </r>
  <r>
    <x v="77"/>
    <n v="31"/>
    <x v="2"/>
    <x v="1"/>
    <x v="3"/>
    <x v="0"/>
    <x v="1"/>
    <n v="1"/>
    <x v="0"/>
    <n v="2"/>
    <n v="200000"/>
    <n v="2"/>
    <n v="1"/>
    <s v="Taux d'i"/>
    <n v="1"/>
    <n v="3"/>
    <n v="1"/>
    <n v="2"/>
    <n v="1"/>
    <n v="1"/>
    <n v="1"/>
    <n v="1"/>
    <n v="1"/>
    <n v="4"/>
    <n v="0"/>
    <n v="0"/>
    <n v="1"/>
    <m/>
  </r>
  <r>
    <x v="78"/>
    <n v="34"/>
    <x v="2"/>
    <x v="2"/>
    <x v="2"/>
    <x v="1"/>
    <x v="1"/>
    <n v="3"/>
    <x v="0"/>
    <n v="4"/>
    <n v="150000"/>
    <n v="3"/>
    <n v="1"/>
    <s v="Procédu"/>
    <n v="0"/>
    <n v="3"/>
    <n v="1"/>
    <n v="2"/>
    <n v="0"/>
    <n v="0"/>
    <n v="1"/>
    <n v="1"/>
    <n v="1"/>
    <n v="1"/>
    <n v="1"/>
    <n v="0"/>
    <n v="0"/>
    <m/>
  </r>
  <r>
    <x v="79"/>
    <n v="29"/>
    <x v="2"/>
    <x v="0"/>
    <x v="0"/>
    <x v="1"/>
    <x v="0"/>
    <n v="3"/>
    <x v="1"/>
    <n v="5"/>
    <n v="30000"/>
    <n v="1"/>
    <n v="1"/>
    <s v="Procédu"/>
    <n v="1"/>
    <n v="2"/>
    <n v="1"/>
    <n v="1"/>
    <n v="1"/>
    <n v="1"/>
    <n v="1"/>
    <n v="1"/>
    <n v="1"/>
    <n v="4"/>
    <n v="0"/>
    <n v="0"/>
    <n v="1"/>
    <m/>
  </r>
  <r>
    <x v="80"/>
    <n v="46"/>
    <x v="3"/>
    <x v="0"/>
    <x v="3"/>
    <x v="2"/>
    <x v="1"/>
    <n v="2"/>
    <x v="0"/>
    <n v="2"/>
    <n v="200000"/>
    <n v="2"/>
    <n v="0"/>
    <m/>
    <n v="1"/>
    <n v="1"/>
    <n v="0"/>
    <n v="2"/>
    <n v="1"/>
    <n v="0"/>
    <n v="1"/>
    <n v="1"/>
    <n v="1"/>
    <n v="1"/>
    <n v="1"/>
    <n v="1"/>
    <n v="0"/>
    <m/>
  </r>
  <r>
    <x v="81"/>
    <n v="30"/>
    <x v="2"/>
    <x v="0"/>
    <x v="2"/>
    <x v="1"/>
    <x v="0"/>
    <n v="3"/>
    <x v="0"/>
    <n v="5"/>
    <n v="40000"/>
    <n v="1"/>
    <n v="1"/>
    <s v="Montant"/>
    <n v="1"/>
    <n v="2"/>
    <n v="1"/>
    <n v="1"/>
    <n v="0"/>
    <n v="1"/>
    <n v="1"/>
    <n v="0"/>
    <n v="1"/>
    <n v="4"/>
    <n v="1"/>
    <n v="0"/>
    <n v="1"/>
    <m/>
  </r>
  <r>
    <x v="82"/>
    <n v="32"/>
    <x v="2"/>
    <x v="2"/>
    <x v="2"/>
    <x v="1"/>
    <x v="1"/>
    <n v="1"/>
    <x v="1"/>
    <n v="4"/>
    <n v="250000"/>
    <n v="2"/>
    <n v="0"/>
    <m/>
    <n v="1"/>
    <n v="1"/>
    <n v="0"/>
    <n v="1"/>
    <n v="0"/>
    <n v="1"/>
    <n v="1"/>
    <n v="1"/>
    <n v="1"/>
    <n v="3"/>
    <n v="1"/>
    <n v="0"/>
    <n v="1"/>
    <m/>
  </r>
  <r>
    <x v="83"/>
    <n v="27"/>
    <x v="2"/>
    <x v="0"/>
    <x v="3"/>
    <x v="1"/>
    <x v="0"/>
    <n v="1"/>
    <x v="0"/>
    <n v="3"/>
    <n v="50000"/>
    <n v="1"/>
    <n v="1"/>
    <s v="Procédu"/>
    <n v="1"/>
    <n v="4"/>
    <n v="1"/>
    <n v="2"/>
    <n v="1"/>
    <n v="1"/>
    <n v="1"/>
    <n v="1"/>
    <n v="1"/>
    <n v="4"/>
    <n v="1"/>
    <n v="0"/>
    <n v="0"/>
    <m/>
  </r>
  <r>
    <x v="84"/>
    <n v="44"/>
    <x v="0"/>
    <x v="2"/>
    <x v="0"/>
    <x v="0"/>
    <x v="1"/>
    <n v="2"/>
    <x v="2"/>
    <n v="2"/>
    <n v="100000"/>
    <n v="3"/>
    <n v="1"/>
    <s v="Procédu"/>
    <n v="1"/>
    <n v="1"/>
    <n v="1"/>
    <n v="1"/>
    <n v="1"/>
    <n v="0"/>
    <n v="0"/>
    <n v="0"/>
    <n v="0"/>
    <n v="1"/>
    <n v="1"/>
    <n v="0"/>
    <n v="1"/>
    <m/>
  </r>
  <r>
    <x v="85"/>
    <n v="22"/>
    <x v="1"/>
    <x v="2"/>
    <x v="1"/>
    <x v="1"/>
    <x v="1"/>
    <n v="2"/>
    <x v="1"/>
    <n v="4"/>
    <n v="300000"/>
    <n v="1"/>
    <n v="1"/>
    <s v="Montant"/>
    <n v="1"/>
    <n v="1"/>
    <n v="0"/>
    <n v="2"/>
    <n v="1"/>
    <n v="1"/>
    <n v="1"/>
    <n v="0"/>
    <n v="1"/>
    <n v="4"/>
    <n v="0"/>
    <n v="1"/>
    <n v="1"/>
    <m/>
  </r>
  <r>
    <x v="86"/>
    <n v="33"/>
    <x v="2"/>
    <x v="0"/>
    <x v="0"/>
    <x v="1"/>
    <x v="0"/>
    <n v="1"/>
    <x v="1"/>
    <n v="5"/>
    <n v="50000"/>
    <n v="2"/>
    <n v="0"/>
    <m/>
    <n v="1"/>
    <n v="3"/>
    <n v="1"/>
    <n v="2"/>
    <n v="0"/>
    <n v="1"/>
    <n v="1"/>
    <n v="1"/>
    <n v="1"/>
    <n v="4"/>
    <n v="0"/>
    <n v="0"/>
    <n v="1"/>
    <m/>
  </r>
  <r>
    <x v="87"/>
    <n v="38"/>
    <x v="0"/>
    <x v="2"/>
    <x v="1"/>
    <x v="1"/>
    <x v="1"/>
    <n v="3"/>
    <x v="0"/>
    <n v="2"/>
    <n v="150000"/>
    <n v="2"/>
    <n v="0"/>
    <s v="Délai l"/>
    <n v="0"/>
    <n v="2"/>
    <n v="1"/>
    <n v="2"/>
    <n v="1"/>
    <n v="1"/>
    <n v="0"/>
    <n v="1"/>
    <n v="1"/>
    <n v="4"/>
    <n v="1"/>
    <n v="0"/>
    <n v="1"/>
    <m/>
  </r>
  <r>
    <x v="88"/>
    <n v="43"/>
    <x v="0"/>
    <x v="1"/>
    <x v="0"/>
    <x v="2"/>
    <x v="1"/>
    <n v="3"/>
    <x v="0"/>
    <n v="1"/>
    <n v="250000"/>
    <n v="1"/>
    <n v="1"/>
    <s v="Procédu"/>
    <n v="1"/>
    <n v="2"/>
    <n v="1"/>
    <n v="1"/>
    <n v="0"/>
    <n v="0"/>
    <n v="1"/>
    <n v="1"/>
    <n v="1"/>
    <n v="4"/>
    <n v="1"/>
    <n v="0"/>
    <n v="0"/>
    <m/>
  </r>
  <r>
    <x v="89"/>
    <n v="27"/>
    <x v="2"/>
    <x v="0"/>
    <x v="1"/>
    <x v="0"/>
    <x v="1"/>
    <n v="2"/>
    <x v="1"/>
    <n v="5"/>
    <n v="200000"/>
    <n v="2"/>
    <n v="1"/>
    <s v="Procédu"/>
    <n v="1"/>
    <n v="1"/>
    <n v="0"/>
    <n v="1"/>
    <n v="1"/>
    <n v="1"/>
    <n v="1"/>
    <n v="1"/>
    <n v="1"/>
    <n v="4"/>
    <n v="1"/>
    <n v="0"/>
    <n v="0"/>
    <m/>
  </r>
  <r>
    <x v="90"/>
    <n v="35"/>
    <x v="2"/>
    <x v="0"/>
    <x v="0"/>
    <x v="1"/>
    <x v="0"/>
    <n v="3"/>
    <x v="0"/>
    <n v="5"/>
    <n v="50000"/>
    <n v="2"/>
    <n v="0"/>
    <m/>
    <n v="1"/>
    <n v="2"/>
    <n v="0"/>
    <n v="2"/>
    <n v="1"/>
    <n v="0"/>
    <n v="1"/>
    <n v="1"/>
    <n v="0"/>
    <n v="3"/>
    <n v="0"/>
    <n v="0"/>
    <n v="1"/>
    <m/>
  </r>
  <r>
    <x v="91"/>
    <n v="29"/>
    <x v="2"/>
    <x v="0"/>
    <x v="2"/>
    <x v="2"/>
    <x v="1"/>
    <n v="4"/>
    <x v="1"/>
    <n v="4"/>
    <n v="100000"/>
    <n v="1"/>
    <n v="1"/>
    <s v="Procédu"/>
    <n v="1"/>
    <n v="1"/>
    <n v="1"/>
    <n v="1"/>
    <n v="1"/>
    <n v="1"/>
    <n v="1"/>
    <n v="1"/>
    <n v="0"/>
    <n v="2"/>
    <n v="1"/>
    <n v="0"/>
    <n v="0"/>
    <m/>
  </r>
  <r>
    <x v="92"/>
    <n v="30"/>
    <x v="2"/>
    <x v="2"/>
    <x v="1"/>
    <x v="1"/>
    <x v="0"/>
    <n v="2"/>
    <x v="0"/>
    <n v="5"/>
    <n v="40000"/>
    <n v="1"/>
    <n v="1"/>
    <s v="Montant"/>
    <n v="1"/>
    <n v="3"/>
    <n v="1"/>
    <n v="2"/>
    <n v="1"/>
    <n v="0"/>
    <n v="0"/>
    <n v="1"/>
    <n v="1"/>
    <n v="4"/>
    <n v="1"/>
    <n v="0"/>
    <n v="1"/>
    <m/>
  </r>
  <r>
    <x v="93"/>
    <n v="26"/>
    <x v="2"/>
    <x v="0"/>
    <x v="0"/>
    <x v="1"/>
    <x v="1"/>
    <n v="1"/>
    <x v="1"/>
    <n v="1"/>
    <n v="150000"/>
    <n v="1"/>
    <n v="1"/>
    <s v="Procédu"/>
    <n v="1"/>
    <n v="1"/>
    <n v="0"/>
    <n v="3"/>
    <n v="0"/>
    <n v="0"/>
    <n v="1"/>
    <n v="1"/>
    <n v="1"/>
    <n v="4"/>
    <n v="1"/>
    <n v="0"/>
    <n v="1"/>
    <m/>
  </r>
  <r>
    <x v="94"/>
    <n v="46"/>
    <x v="3"/>
    <x v="2"/>
    <x v="2"/>
    <x v="1"/>
    <x v="1"/>
    <n v="2"/>
    <x v="0"/>
    <n v="2"/>
    <n v="200000"/>
    <n v="2"/>
    <n v="1"/>
    <s v="Procédu"/>
    <n v="1"/>
    <n v="2"/>
    <n v="1"/>
    <n v="1"/>
    <n v="1"/>
    <n v="1"/>
    <n v="1"/>
    <n v="1"/>
    <n v="0"/>
    <n v="1"/>
    <n v="0"/>
    <n v="0"/>
    <n v="1"/>
    <m/>
  </r>
  <r>
    <x v="95"/>
    <n v="41"/>
    <x v="0"/>
    <x v="0"/>
    <x v="0"/>
    <x v="0"/>
    <x v="0"/>
    <n v="3"/>
    <x v="2"/>
    <n v="4"/>
    <n v="30000"/>
    <n v="3"/>
    <n v="1"/>
    <s v="Montant"/>
    <n v="1"/>
    <n v="1"/>
    <n v="0"/>
    <n v="2"/>
    <n v="1"/>
    <n v="0"/>
    <n v="0"/>
    <n v="1"/>
    <n v="1"/>
    <n v="4"/>
    <n v="1"/>
    <n v="0"/>
    <n v="1"/>
    <m/>
  </r>
  <r>
    <x v="96"/>
    <n v="39"/>
    <x v="0"/>
    <x v="0"/>
    <x v="1"/>
    <x v="1"/>
    <x v="1"/>
    <n v="3"/>
    <x v="1"/>
    <n v="2"/>
    <n v="250000"/>
    <n v="1"/>
    <n v="0"/>
    <m/>
    <n v="1"/>
    <n v="3"/>
    <n v="1"/>
    <n v="1"/>
    <n v="1"/>
    <n v="1"/>
    <n v="1"/>
    <n v="1"/>
    <n v="0"/>
    <n v="1"/>
    <n v="0"/>
    <n v="0"/>
    <n v="0"/>
    <m/>
  </r>
  <r>
    <x v="97"/>
    <n v="28"/>
    <x v="2"/>
    <x v="1"/>
    <x v="0"/>
    <x v="0"/>
    <x v="0"/>
    <n v="2"/>
    <x v="1"/>
    <n v="5"/>
    <n v="50000"/>
    <n v="2"/>
    <n v="1"/>
    <s v="Procédu"/>
    <n v="1"/>
    <n v="1"/>
    <n v="1"/>
    <n v="2"/>
    <n v="0"/>
    <n v="0"/>
    <n v="1"/>
    <n v="1"/>
    <n v="1"/>
    <n v="4"/>
    <n v="1"/>
    <n v="0"/>
    <n v="1"/>
    <m/>
  </r>
  <r>
    <x v="98"/>
    <n v="25"/>
    <x v="1"/>
    <x v="2"/>
    <x v="2"/>
    <x v="1"/>
    <x v="1"/>
    <n v="1"/>
    <x v="1"/>
    <n v="3"/>
    <n v="200000"/>
    <n v="1"/>
    <n v="1"/>
    <s v="Procédu"/>
    <n v="1"/>
    <n v="4"/>
    <n v="1"/>
    <n v="1"/>
    <n v="1"/>
    <n v="1"/>
    <n v="1"/>
    <n v="1"/>
    <n v="0"/>
    <n v="3"/>
    <n v="1"/>
    <n v="0"/>
    <n v="1"/>
    <m/>
  </r>
  <r>
    <x v="99"/>
    <n v="36"/>
    <x v="0"/>
    <x v="0"/>
    <x v="0"/>
    <x v="1"/>
    <x v="0"/>
    <n v="3"/>
    <x v="0"/>
    <n v="5"/>
    <n v="40000"/>
    <n v="1"/>
    <n v="1"/>
    <s v="Procédu"/>
    <n v="1"/>
    <n v="1"/>
    <n v="1"/>
    <n v="1"/>
    <n v="1"/>
    <n v="1"/>
    <n v="0"/>
    <n v="1"/>
    <n v="1"/>
    <n v="4"/>
    <n v="1"/>
    <n v="0"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96D00-3F74-46AB-B895-23DEAE9166F2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Niveau d'instruction">
  <location ref="A3:B7" firstHeaderRow="1" firstDataRow="1" firstDataCol="1"/>
  <pivotFields count="28">
    <pivotField dataField="1" numFmtI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umFmtId="1" showAll="0"/>
    <pivotField showAll="0">
      <items count="5">
        <item x="1"/>
        <item x="2"/>
        <item x="0"/>
        <item x="3"/>
        <item t="default"/>
      </items>
    </pivotField>
    <pivotField axis="axisRow" numFmtId="1" showAll="0">
      <items count="4">
        <item n="Aucun" x="0"/>
        <item n="Primaire" x="2"/>
        <item n="Secondaire" x="1"/>
        <item t="default"/>
      </items>
    </pivotField>
    <pivotField numFmtId="1" showAll="0">
      <items count="5">
        <item x="0"/>
        <item x="2"/>
        <item x="1"/>
        <item x="3"/>
        <item t="default"/>
      </items>
    </pivotField>
    <pivotField numFmtId="1" showAll="0">
      <items count="4">
        <item x="0"/>
        <item x="1"/>
        <item x="2"/>
        <item t="default"/>
      </items>
    </pivotField>
    <pivotField numFmtId="1" showAll="0"/>
    <pivotField numFmtId="1" showAll="0"/>
    <pivotField numFmtId="1" showAll="0">
      <items count="5">
        <item n="Moins d'un an" x="1"/>
        <item n="Un an à trois ans " x="0"/>
        <item n="Quatre ans à six ans " x="2"/>
        <item n="Plus de sept ans" x="3"/>
        <item t="default"/>
      </items>
    </pivotField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Effectif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A8CC7-FA48-4DC2-96BF-C2F4978AC59B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E9" firstHeaderRow="1" firstDataRow="2" firstDataCol="1"/>
  <pivotFields count="28">
    <pivotField dataField="1" numFmtId="1" showAll="0"/>
    <pivotField numFmtId="1" showAll="0"/>
    <pivotField showAll="0">
      <items count="5">
        <item x="1"/>
        <item x="2"/>
        <item x="0"/>
        <item x="3"/>
        <item t="default"/>
      </items>
    </pivotField>
    <pivotField axis="axisCol" numFmtId="1" showAll="0">
      <items count="4">
        <item x="0"/>
        <item x="2"/>
        <item x="1"/>
        <item t="default"/>
      </items>
    </pivotField>
    <pivotField numFmtId="1" showAll="0"/>
    <pivotField numFmtId="1" showAll="0"/>
    <pivotField numFmtId="1" showAll="0">
      <items count="3">
        <item x="1"/>
        <item x="0"/>
        <item t="default"/>
      </items>
    </pivotField>
    <pivotField numFmtId="1" showAll="0"/>
    <pivotField axis="axisRow" numFmtId="1"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Nombre de 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23341-245B-40A7-B41D-322F52851FC4}">
  <dimension ref="A3:C7"/>
  <sheetViews>
    <sheetView workbookViewId="0">
      <selection activeCell="C6" sqref="A3:C6"/>
    </sheetView>
  </sheetViews>
  <sheetFormatPr baseColWidth="10" defaultRowHeight="15" x14ac:dyDescent="0.25"/>
  <cols>
    <col min="1" max="1" width="13.5703125" bestFit="1" customWidth="1"/>
    <col min="2" max="2" width="7.42578125" bestFit="1" customWidth="1"/>
    <col min="3" max="3" width="18" bestFit="1" customWidth="1"/>
    <col min="4" max="10" width="2" bestFit="1" customWidth="1"/>
    <col min="11" max="100" width="3" bestFit="1" customWidth="1"/>
    <col min="101" max="101" width="4" bestFit="1" customWidth="1"/>
    <col min="102" max="102" width="12.5703125" bestFit="1" customWidth="1"/>
  </cols>
  <sheetData>
    <row r="3" spans="1:3" x14ac:dyDescent="0.25">
      <c r="A3" s="2" t="s">
        <v>58</v>
      </c>
      <c r="B3" t="s">
        <v>44</v>
      </c>
      <c r="C3" t="s">
        <v>45</v>
      </c>
    </row>
    <row r="4" spans="1:3" x14ac:dyDescent="0.25">
      <c r="A4" s="8" t="s">
        <v>55</v>
      </c>
      <c r="B4">
        <v>51</v>
      </c>
      <c r="C4" s="11">
        <v>0.51</v>
      </c>
    </row>
    <row r="5" spans="1:3" x14ac:dyDescent="0.25">
      <c r="A5" s="8" t="s">
        <v>56</v>
      </c>
      <c r="B5">
        <v>30</v>
      </c>
      <c r="C5" s="11">
        <v>0.3</v>
      </c>
    </row>
    <row r="6" spans="1:3" x14ac:dyDescent="0.25">
      <c r="A6" s="8" t="s">
        <v>57</v>
      </c>
      <c r="B6">
        <v>19</v>
      </c>
      <c r="C6" s="11">
        <v>0.19</v>
      </c>
    </row>
    <row r="7" spans="1:3" x14ac:dyDescent="0.25">
      <c r="A7" s="8" t="s">
        <v>33</v>
      </c>
      <c r="B7">
        <v>100</v>
      </c>
      <c r="C7" s="11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6A4E-E908-4D28-854B-AC0E82A72579}">
  <dimension ref="A1:K18"/>
  <sheetViews>
    <sheetView topLeftCell="A15" workbookViewId="0">
      <selection activeCell="A14" sqref="A14:B18"/>
    </sheetView>
  </sheetViews>
  <sheetFormatPr baseColWidth="10" defaultRowHeight="15" x14ac:dyDescent="0.25"/>
  <cols>
    <col min="1" max="1" width="18.85546875" bestFit="1" customWidth="1"/>
    <col min="3" max="3" width="13" bestFit="1" customWidth="1"/>
    <col min="5" max="5" width="20.28515625" bestFit="1" customWidth="1"/>
    <col min="7" max="7" width="12.85546875" bestFit="1" customWidth="1"/>
    <col min="9" max="9" width="23.28515625" bestFit="1" customWidth="1"/>
    <col min="11" max="11" width="12.85546875" bestFit="1" customWidth="1"/>
  </cols>
  <sheetData>
    <row r="1" spans="1:11" ht="15.75" x14ac:dyDescent="0.25">
      <c r="A1" s="7" t="s">
        <v>37</v>
      </c>
      <c r="B1" s="7" t="s">
        <v>36</v>
      </c>
      <c r="C1" s="7" t="s">
        <v>38</v>
      </c>
      <c r="E1" s="9" t="s">
        <v>43</v>
      </c>
      <c r="F1" s="9" t="s">
        <v>44</v>
      </c>
      <c r="G1" s="7" t="s">
        <v>45</v>
      </c>
      <c r="I1" s="9" t="s">
        <v>49</v>
      </c>
      <c r="J1" s="9" t="s">
        <v>44</v>
      </c>
      <c r="K1" s="7" t="s">
        <v>45</v>
      </c>
    </row>
    <row r="2" spans="1:11" ht="15.75" x14ac:dyDescent="0.25">
      <c r="A2" s="7" t="s">
        <v>29</v>
      </c>
      <c r="B2" s="5">
        <v>13</v>
      </c>
      <c r="C2" s="6">
        <v>0.13</v>
      </c>
      <c r="E2" s="10" t="s">
        <v>39</v>
      </c>
      <c r="F2" s="5">
        <v>39</v>
      </c>
      <c r="G2" s="6">
        <v>0.39</v>
      </c>
      <c r="I2" s="10" t="s">
        <v>47</v>
      </c>
      <c r="J2" s="5">
        <v>23</v>
      </c>
      <c r="K2" s="6">
        <v>0.23</v>
      </c>
    </row>
    <row r="3" spans="1:11" ht="15.75" x14ac:dyDescent="0.25">
      <c r="A3" s="7" t="s">
        <v>30</v>
      </c>
      <c r="B3" s="5">
        <v>44</v>
      </c>
      <c r="C3" s="6">
        <v>0.44</v>
      </c>
      <c r="E3" s="10" t="s">
        <v>40</v>
      </c>
      <c r="F3" s="5">
        <v>34</v>
      </c>
      <c r="G3" s="6">
        <v>0.34</v>
      </c>
      <c r="I3" s="10" t="s">
        <v>46</v>
      </c>
      <c r="J3" s="5">
        <v>63</v>
      </c>
      <c r="K3" s="6">
        <v>0.63</v>
      </c>
    </row>
    <row r="4" spans="1:11" ht="15.75" x14ac:dyDescent="0.25">
      <c r="A4" s="7" t="s">
        <v>31</v>
      </c>
      <c r="B4" s="5">
        <v>31</v>
      </c>
      <c r="C4" s="6">
        <v>0.31</v>
      </c>
      <c r="E4" s="10" t="s">
        <v>41</v>
      </c>
      <c r="F4" s="5">
        <v>18</v>
      </c>
      <c r="G4" s="6">
        <v>0.18</v>
      </c>
      <c r="I4" s="10" t="s">
        <v>48</v>
      </c>
      <c r="J4" s="5">
        <v>14</v>
      </c>
      <c r="K4" s="6">
        <v>0.14000000000000001</v>
      </c>
    </row>
    <row r="5" spans="1:11" ht="15.75" x14ac:dyDescent="0.25">
      <c r="A5" s="7" t="s">
        <v>32</v>
      </c>
      <c r="B5" s="5">
        <v>12</v>
      </c>
      <c r="C5" s="6">
        <v>0.12</v>
      </c>
      <c r="E5" s="10" t="s">
        <v>42</v>
      </c>
      <c r="F5" s="5">
        <v>9</v>
      </c>
      <c r="G5" s="6">
        <v>0.09</v>
      </c>
    </row>
    <row r="7" spans="1:11" ht="15.75" x14ac:dyDescent="0.25">
      <c r="A7" s="15" t="s">
        <v>52</v>
      </c>
      <c r="B7" s="15" t="s">
        <v>44</v>
      </c>
      <c r="C7" s="15" t="s">
        <v>45</v>
      </c>
      <c r="E7" s="7" t="s">
        <v>58</v>
      </c>
      <c r="F7" s="7" t="s">
        <v>44</v>
      </c>
      <c r="G7" s="7" t="s">
        <v>45</v>
      </c>
    </row>
    <row r="8" spans="1:11" ht="15.75" x14ac:dyDescent="0.25">
      <c r="A8" s="14" t="s">
        <v>50</v>
      </c>
      <c r="B8" s="12">
        <v>34</v>
      </c>
      <c r="C8" s="13">
        <v>0.34</v>
      </c>
      <c r="E8" s="10" t="s">
        <v>55</v>
      </c>
      <c r="F8" s="5">
        <v>51</v>
      </c>
      <c r="G8" s="16">
        <v>0.51</v>
      </c>
    </row>
    <row r="9" spans="1:11" ht="15.75" x14ac:dyDescent="0.25">
      <c r="A9" s="14" t="s">
        <v>51</v>
      </c>
      <c r="B9" s="12">
        <v>43</v>
      </c>
      <c r="C9" s="13">
        <v>0.43</v>
      </c>
      <c r="E9" s="10" t="s">
        <v>56</v>
      </c>
      <c r="F9" s="5">
        <v>30</v>
      </c>
      <c r="G9" s="16">
        <v>0.3</v>
      </c>
    </row>
    <row r="10" spans="1:11" ht="15.75" x14ac:dyDescent="0.25">
      <c r="A10" s="14" t="s">
        <v>53</v>
      </c>
      <c r="B10" s="12">
        <v>21</v>
      </c>
      <c r="C10" s="13">
        <v>0.21</v>
      </c>
      <c r="E10" s="10" t="s">
        <v>57</v>
      </c>
      <c r="F10" s="5">
        <v>19</v>
      </c>
      <c r="G10" s="16">
        <v>0.19</v>
      </c>
    </row>
    <row r="11" spans="1:11" ht="15.75" x14ac:dyDescent="0.25">
      <c r="A11" s="14" t="s">
        <v>54</v>
      </c>
      <c r="B11" s="12">
        <v>2</v>
      </c>
      <c r="C11" s="13">
        <v>0.02</v>
      </c>
      <c r="E11" s="10" t="s">
        <v>59</v>
      </c>
      <c r="F11" s="5">
        <v>0</v>
      </c>
      <c r="G11" s="6">
        <v>0</v>
      </c>
    </row>
    <row r="14" spans="1:11" ht="31.5" x14ac:dyDescent="0.25">
      <c r="A14" s="22" t="s">
        <v>86</v>
      </c>
      <c r="B14" s="22" t="s">
        <v>44</v>
      </c>
      <c r="C14" s="22" t="s">
        <v>87</v>
      </c>
    </row>
    <row r="15" spans="1:11" ht="31.5" x14ac:dyDescent="0.25">
      <c r="A15" s="22" t="s">
        <v>84</v>
      </c>
      <c r="B15" s="23">
        <v>41</v>
      </c>
      <c r="C15" s="23" t="s">
        <v>88</v>
      </c>
    </row>
    <row r="16" spans="1:11" ht="31.5" x14ac:dyDescent="0.25">
      <c r="A16" s="22" t="s">
        <v>89</v>
      </c>
      <c r="B16" s="23">
        <v>16</v>
      </c>
      <c r="C16" s="23" t="s">
        <v>90</v>
      </c>
    </row>
    <row r="17" spans="1:3" ht="31.5" x14ac:dyDescent="0.25">
      <c r="A17" s="22" t="s">
        <v>91</v>
      </c>
      <c r="B17" s="23">
        <v>10</v>
      </c>
      <c r="C17" s="23" t="s">
        <v>92</v>
      </c>
    </row>
    <row r="18" spans="1:3" ht="15.75" x14ac:dyDescent="0.25">
      <c r="A18" s="22" t="s">
        <v>82</v>
      </c>
      <c r="B18" s="23">
        <v>6</v>
      </c>
      <c r="C18" s="23" t="s">
        <v>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634B6-951A-446E-9A90-426399371874}">
  <dimension ref="A1:P46"/>
  <sheetViews>
    <sheetView topLeftCell="I40" workbookViewId="0">
      <selection activeCell="L18" sqref="F11:L18"/>
    </sheetView>
  </sheetViews>
  <sheetFormatPr baseColWidth="10" defaultRowHeight="15" x14ac:dyDescent="0.25"/>
  <cols>
    <col min="1" max="1" width="61.5703125" bestFit="1" customWidth="1"/>
    <col min="2" max="2" width="20.5703125" customWidth="1"/>
    <col min="5" max="5" width="30.42578125" customWidth="1"/>
    <col min="7" max="7" width="11.28515625" bestFit="1" customWidth="1"/>
    <col min="8" max="8" width="14" customWidth="1"/>
  </cols>
  <sheetData>
    <row r="1" spans="1:13" x14ac:dyDescent="0.25">
      <c r="A1" s="15" t="s">
        <v>52</v>
      </c>
      <c r="B1" s="24"/>
      <c r="C1" t="s">
        <v>55</v>
      </c>
      <c r="D1" t="s">
        <v>56</v>
      </c>
      <c r="E1" t="s">
        <v>57</v>
      </c>
    </row>
    <row r="2" spans="1:13" x14ac:dyDescent="0.25">
      <c r="A2" s="14" t="s">
        <v>50</v>
      </c>
      <c r="B2" s="25"/>
      <c r="C2">
        <v>20</v>
      </c>
      <c r="D2">
        <v>10</v>
      </c>
      <c r="E2">
        <v>4</v>
      </c>
    </row>
    <row r="3" spans="1:13" x14ac:dyDescent="0.25">
      <c r="A3" s="14" t="s">
        <v>51</v>
      </c>
      <c r="B3" s="25"/>
      <c r="C3">
        <v>17</v>
      </c>
      <c r="D3">
        <v>14</v>
      </c>
      <c r="E3">
        <v>12</v>
      </c>
    </row>
    <row r="4" spans="1:13" x14ac:dyDescent="0.25">
      <c r="A4" s="14" t="s">
        <v>53</v>
      </c>
      <c r="B4" s="25"/>
      <c r="C4">
        <v>12</v>
      </c>
      <c r="D4">
        <v>6</v>
      </c>
      <c r="E4">
        <v>3</v>
      </c>
    </row>
    <row r="5" spans="1:13" x14ac:dyDescent="0.25">
      <c r="A5" s="14" t="s">
        <v>54</v>
      </c>
      <c r="B5" s="25"/>
      <c r="C5">
        <v>2</v>
      </c>
      <c r="D5">
        <v>0</v>
      </c>
      <c r="E5">
        <v>0</v>
      </c>
    </row>
    <row r="8" spans="1:13" ht="31.5" x14ac:dyDescent="0.25">
      <c r="A8" s="28" t="s">
        <v>94</v>
      </c>
      <c r="B8" s="28" t="s">
        <v>111</v>
      </c>
      <c r="C8" s="28" t="s">
        <v>44</v>
      </c>
      <c r="D8" s="28" t="s">
        <v>110</v>
      </c>
    </row>
    <row r="9" spans="1:13" ht="15.75" x14ac:dyDescent="0.25">
      <c r="A9" s="119" t="s">
        <v>174</v>
      </c>
      <c r="B9" s="26" t="s">
        <v>95</v>
      </c>
      <c r="C9" s="26">
        <v>68</v>
      </c>
      <c r="D9" s="27">
        <v>0.68</v>
      </c>
    </row>
    <row r="10" spans="1:13" ht="15.75" x14ac:dyDescent="0.25">
      <c r="A10" s="119"/>
      <c r="B10" s="26" t="s">
        <v>96</v>
      </c>
      <c r="C10" s="26">
        <v>32</v>
      </c>
      <c r="D10" s="27">
        <v>0.32</v>
      </c>
      <c r="F10" s="121" t="s">
        <v>112</v>
      </c>
      <c r="G10" s="121"/>
      <c r="H10" s="121"/>
      <c r="I10" s="121"/>
      <c r="J10" s="121"/>
      <c r="K10" s="121"/>
      <c r="L10" s="121"/>
      <c r="M10" s="29"/>
    </row>
    <row r="11" spans="1:13" ht="15.75" x14ac:dyDescent="0.25">
      <c r="A11" s="119" t="s">
        <v>101</v>
      </c>
      <c r="B11" s="26" t="s">
        <v>104</v>
      </c>
      <c r="C11" s="26">
        <v>48</v>
      </c>
      <c r="D11" s="27">
        <v>0.48</v>
      </c>
      <c r="F11" s="122" t="s">
        <v>65</v>
      </c>
      <c r="G11" s="122"/>
      <c r="H11" s="122"/>
      <c r="I11" s="120" t="s">
        <v>113</v>
      </c>
      <c r="J11" s="120"/>
      <c r="K11" s="120"/>
      <c r="L11" s="120" t="s">
        <v>63</v>
      </c>
      <c r="M11" s="29"/>
    </row>
    <row r="12" spans="1:13" ht="16.5" customHeight="1" x14ac:dyDescent="0.25">
      <c r="A12" s="119"/>
      <c r="B12" s="26" t="s">
        <v>105</v>
      </c>
      <c r="C12" s="26">
        <v>29</v>
      </c>
      <c r="D12" s="27">
        <v>0.28999999999999998</v>
      </c>
      <c r="F12" s="122"/>
      <c r="G12" s="122"/>
      <c r="H12" s="122"/>
      <c r="I12" s="30" t="s">
        <v>55</v>
      </c>
      <c r="J12" s="30" t="s">
        <v>56</v>
      </c>
      <c r="K12" s="30" t="s">
        <v>57</v>
      </c>
      <c r="L12" s="120"/>
      <c r="M12" s="29"/>
    </row>
    <row r="13" spans="1:13" ht="16.5" customHeight="1" x14ac:dyDescent="0.25">
      <c r="A13" s="119"/>
      <c r="B13" s="26" t="s">
        <v>106</v>
      </c>
      <c r="C13" s="26">
        <v>20</v>
      </c>
      <c r="D13" s="27">
        <v>0.2</v>
      </c>
      <c r="F13" s="195" t="s">
        <v>114</v>
      </c>
      <c r="G13" s="196"/>
      <c r="H13" s="193" t="s">
        <v>115</v>
      </c>
      <c r="I13" s="31">
        <v>20</v>
      </c>
      <c r="J13" s="31">
        <v>5</v>
      </c>
      <c r="K13" s="31">
        <v>7</v>
      </c>
      <c r="L13" s="31">
        <v>32</v>
      </c>
      <c r="M13" s="29"/>
    </row>
    <row r="14" spans="1:13" ht="16.5" customHeight="1" x14ac:dyDescent="0.25">
      <c r="A14" s="119"/>
      <c r="B14" s="26" t="s">
        <v>107</v>
      </c>
      <c r="C14" s="26">
        <v>3</v>
      </c>
      <c r="D14" s="27">
        <v>0.03</v>
      </c>
      <c r="F14" s="197"/>
      <c r="G14" s="198"/>
      <c r="H14" s="194"/>
      <c r="I14" s="32">
        <v>0.625</v>
      </c>
      <c r="J14" s="32">
        <v>0.15625</v>
      </c>
      <c r="K14" s="32">
        <v>0.21875</v>
      </c>
      <c r="L14" s="32">
        <v>1</v>
      </c>
      <c r="M14" s="29"/>
    </row>
    <row r="15" spans="1:13" ht="16.5" customHeight="1" x14ac:dyDescent="0.25">
      <c r="A15" s="119" t="s">
        <v>102</v>
      </c>
      <c r="B15" s="26" t="s">
        <v>108</v>
      </c>
      <c r="C15" s="26">
        <v>45</v>
      </c>
      <c r="D15" s="27">
        <v>0.45</v>
      </c>
      <c r="F15" s="197"/>
      <c r="G15" s="198"/>
      <c r="H15" s="193" t="s">
        <v>116</v>
      </c>
      <c r="I15" s="31">
        <v>31</v>
      </c>
      <c r="J15" s="31">
        <v>25</v>
      </c>
      <c r="K15" s="31">
        <v>12</v>
      </c>
      <c r="L15" s="31">
        <v>68</v>
      </c>
      <c r="M15" s="29"/>
    </row>
    <row r="16" spans="1:13" ht="15.75" x14ac:dyDescent="0.25">
      <c r="A16" s="119"/>
      <c r="B16" s="26" t="s">
        <v>109</v>
      </c>
      <c r="C16" s="26">
        <v>45</v>
      </c>
      <c r="D16" s="27">
        <v>0.45</v>
      </c>
      <c r="F16" s="199"/>
      <c r="G16" s="200"/>
      <c r="H16" s="194"/>
      <c r="I16" s="32">
        <v>0.45588235294117646</v>
      </c>
      <c r="J16" s="32">
        <v>0.36764705882352944</v>
      </c>
      <c r="K16" s="32">
        <v>0.17647058823529413</v>
      </c>
      <c r="L16" s="32">
        <v>1</v>
      </c>
      <c r="M16" s="29"/>
    </row>
    <row r="17" spans="1:13" ht="15.75" x14ac:dyDescent="0.25">
      <c r="A17" s="119"/>
      <c r="B17" s="26" t="s">
        <v>96</v>
      </c>
      <c r="C17" s="26">
        <v>10</v>
      </c>
      <c r="D17" s="27">
        <v>0.1</v>
      </c>
      <c r="F17" s="195" t="s">
        <v>63</v>
      </c>
      <c r="G17" s="201"/>
      <c r="H17" s="196"/>
      <c r="I17" s="31">
        <v>51</v>
      </c>
      <c r="J17" s="31">
        <v>30</v>
      </c>
      <c r="K17" s="31">
        <v>19</v>
      </c>
      <c r="L17" s="31">
        <v>100</v>
      </c>
      <c r="M17" s="29"/>
    </row>
    <row r="18" spans="1:13" ht="15.75" x14ac:dyDescent="0.25">
      <c r="A18" s="119" t="s">
        <v>103</v>
      </c>
      <c r="B18" s="26" t="s">
        <v>95</v>
      </c>
      <c r="C18" s="26">
        <v>68</v>
      </c>
      <c r="D18" s="27">
        <v>0.68</v>
      </c>
      <c r="F18" s="199"/>
      <c r="G18" s="202"/>
      <c r="H18" s="200"/>
      <c r="I18" s="32">
        <v>0.51</v>
      </c>
      <c r="J18" s="32">
        <v>0.3</v>
      </c>
      <c r="K18" s="32">
        <v>0.19</v>
      </c>
      <c r="L18" s="32">
        <v>1</v>
      </c>
      <c r="M18" s="29"/>
    </row>
    <row r="19" spans="1:13" ht="15.75" x14ac:dyDescent="0.25">
      <c r="A19" s="119"/>
      <c r="B19" s="26" t="s">
        <v>96</v>
      </c>
      <c r="C19" s="26">
        <v>32</v>
      </c>
      <c r="D19" s="27">
        <v>0.32</v>
      </c>
    </row>
    <row r="20" spans="1:13" ht="15.75" x14ac:dyDescent="0.25">
      <c r="A20" s="119" t="s">
        <v>100</v>
      </c>
      <c r="B20" s="26" t="s">
        <v>95</v>
      </c>
      <c r="C20" s="26">
        <v>91</v>
      </c>
      <c r="D20" s="27">
        <v>0.91</v>
      </c>
    </row>
    <row r="21" spans="1:13" ht="15.75" customHeight="1" x14ac:dyDescent="0.25">
      <c r="A21" s="119"/>
      <c r="B21" s="26" t="s">
        <v>96</v>
      </c>
      <c r="C21" s="26">
        <v>9</v>
      </c>
      <c r="D21" s="27">
        <v>0.09</v>
      </c>
      <c r="G21" s="190" t="s">
        <v>119</v>
      </c>
      <c r="H21" s="191"/>
      <c r="I21" s="191"/>
      <c r="J21" s="192"/>
      <c r="K21" s="33"/>
    </row>
    <row r="22" spans="1:13" ht="38.25" x14ac:dyDescent="0.25">
      <c r="A22" s="119" t="s">
        <v>99</v>
      </c>
      <c r="B22" s="26" t="s">
        <v>95</v>
      </c>
      <c r="C22" s="26">
        <v>82</v>
      </c>
      <c r="D22" s="27">
        <v>0.82</v>
      </c>
      <c r="G22" s="34"/>
      <c r="H22" s="35" t="s">
        <v>124</v>
      </c>
      <c r="I22" s="35" t="s">
        <v>125</v>
      </c>
      <c r="J22" s="35" t="s">
        <v>126</v>
      </c>
      <c r="K22" s="33"/>
    </row>
    <row r="23" spans="1:13" ht="25.5" x14ac:dyDescent="0.25">
      <c r="A23" s="119"/>
      <c r="B23" s="26" t="s">
        <v>96</v>
      </c>
      <c r="C23" s="5">
        <v>18</v>
      </c>
      <c r="D23" s="16">
        <v>0.18</v>
      </c>
      <c r="G23" s="35" t="s">
        <v>120</v>
      </c>
      <c r="H23" s="36" t="s">
        <v>118</v>
      </c>
      <c r="I23" s="37">
        <v>2</v>
      </c>
      <c r="J23" s="38">
        <v>9.6982822115107795E-2</v>
      </c>
      <c r="K23" s="33"/>
    </row>
    <row r="24" spans="1:13" ht="38.25" x14ac:dyDescent="0.25">
      <c r="A24" s="118" t="s">
        <v>97</v>
      </c>
      <c r="B24" s="26" t="s">
        <v>95</v>
      </c>
      <c r="C24" s="5">
        <v>91</v>
      </c>
      <c r="D24" s="16">
        <v>0.91</v>
      </c>
      <c r="G24" s="35" t="s">
        <v>121</v>
      </c>
      <c r="H24" s="38">
        <v>5.0223225382261223</v>
      </c>
      <c r="I24" s="37">
        <v>2</v>
      </c>
      <c r="J24" s="38">
        <v>8.1173919720560761E-2</v>
      </c>
      <c r="K24" s="33"/>
    </row>
    <row r="25" spans="1:13" ht="38.25" x14ac:dyDescent="0.25">
      <c r="A25" s="118"/>
      <c r="B25" s="26" t="s">
        <v>96</v>
      </c>
      <c r="C25" s="5">
        <v>9</v>
      </c>
      <c r="D25" s="16">
        <v>0.09</v>
      </c>
      <c r="G25" s="35" t="s">
        <v>122</v>
      </c>
      <c r="H25" s="38">
        <v>0.5799410878809349</v>
      </c>
      <c r="I25" s="37">
        <v>1</v>
      </c>
      <c r="J25" s="38">
        <v>0.44633541352693296</v>
      </c>
      <c r="K25" s="33"/>
    </row>
    <row r="26" spans="1:13" ht="38.25" x14ac:dyDescent="0.25">
      <c r="A26" s="118" t="s">
        <v>98</v>
      </c>
      <c r="B26" s="26" t="s">
        <v>95</v>
      </c>
      <c r="C26" s="5">
        <v>100</v>
      </c>
      <c r="D26" s="16">
        <v>1</v>
      </c>
      <c r="G26" s="35" t="s">
        <v>123</v>
      </c>
      <c r="H26" s="37">
        <v>100</v>
      </c>
      <c r="I26" s="39"/>
      <c r="J26" s="39"/>
      <c r="K26" s="33"/>
    </row>
    <row r="27" spans="1:13" ht="15.75" customHeight="1" x14ac:dyDescent="0.25">
      <c r="A27" s="118"/>
      <c r="B27" s="26" t="s">
        <v>96</v>
      </c>
      <c r="C27" s="5">
        <v>0</v>
      </c>
      <c r="D27" s="16">
        <v>0</v>
      </c>
      <c r="G27" s="189" t="s">
        <v>117</v>
      </c>
      <c r="H27" s="189"/>
      <c r="I27" s="189"/>
      <c r="J27" s="189"/>
      <c r="K27" s="33"/>
    </row>
    <row r="28" spans="1:13" ht="15.75" x14ac:dyDescent="0.25">
      <c r="A28" s="179" t="s">
        <v>183</v>
      </c>
      <c r="B28" s="180" t="s">
        <v>95</v>
      </c>
      <c r="C28" s="181">
        <v>88</v>
      </c>
      <c r="D28" s="182">
        <v>0.88</v>
      </c>
    </row>
    <row r="29" spans="1:13" ht="15.75" x14ac:dyDescent="0.25">
      <c r="A29" s="179"/>
      <c r="B29" s="180" t="s">
        <v>96</v>
      </c>
      <c r="C29" s="181">
        <v>12</v>
      </c>
      <c r="D29" s="182">
        <v>0.12</v>
      </c>
    </row>
    <row r="30" spans="1:13" ht="120" x14ac:dyDescent="0.25">
      <c r="A30" s="155" t="s">
        <v>182</v>
      </c>
    </row>
    <row r="31" spans="1:13" ht="15.75" customHeight="1" x14ac:dyDescent="0.25">
      <c r="G31" s="186" t="s">
        <v>175</v>
      </c>
      <c r="H31" s="187"/>
      <c r="I31" s="187"/>
      <c r="J31" s="188"/>
      <c r="K31" s="156"/>
    </row>
    <row r="32" spans="1:13" ht="78.75" x14ac:dyDescent="0.25">
      <c r="G32" s="158"/>
      <c r="H32" s="91" t="s">
        <v>124</v>
      </c>
      <c r="I32" s="91" t="s">
        <v>125</v>
      </c>
      <c r="J32" s="91" t="s">
        <v>126</v>
      </c>
      <c r="K32" s="156"/>
    </row>
    <row r="33" spans="7:16" ht="47.25" x14ac:dyDescent="0.25">
      <c r="G33" s="91" t="s">
        <v>120</v>
      </c>
      <c r="H33" s="159" t="s">
        <v>177</v>
      </c>
      <c r="I33" s="160">
        <v>12</v>
      </c>
      <c r="J33" s="161">
        <v>0.2654407151687484</v>
      </c>
      <c r="K33" s="156"/>
    </row>
    <row r="34" spans="7:16" ht="63" x14ac:dyDescent="0.25">
      <c r="G34" s="91" t="s">
        <v>121</v>
      </c>
      <c r="H34" s="161">
        <v>16.368934152576429</v>
      </c>
      <c r="I34" s="160">
        <v>12</v>
      </c>
      <c r="J34" s="161">
        <v>0.17491643752961245</v>
      </c>
      <c r="K34" s="156"/>
    </row>
    <row r="35" spans="7:16" ht="63" x14ac:dyDescent="0.25">
      <c r="G35" s="91" t="s">
        <v>122</v>
      </c>
      <c r="H35" s="161">
        <v>0.26366887727857752</v>
      </c>
      <c r="I35" s="160">
        <v>1</v>
      </c>
      <c r="J35" s="161">
        <v>0.60761071701902347</v>
      </c>
      <c r="K35" s="156"/>
    </row>
    <row r="36" spans="7:16" ht="63" x14ac:dyDescent="0.25">
      <c r="G36" s="91" t="s">
        <v>123</v>
      </c>
      <c r="H36" s="160">
        <v>100</v>
      </c>
      <c r="I36" s="162"/>
      <c r="J36" s="163"/>
      <c r="K36" s="156"/>
    </row>
    <row r="37" spans="7:16" ht="15" customHeight="1" x14ac:dyDescent="0.25">
      <c r="G37" s="157" t="s">
        <v>176</v>
      </c>
      <c r="H37" s="157"/>
      <c r="I37" s="157"/>
      <c r="J37" s="157"/>
      <c r="K37" s="156"/>
    </row>
    <row r="40" spans="7:16" ht="15" customHeight="1" x14ac:dyDescent="0.25">
      <c r="G40" s="183" t="s">
        <v>175</v>
      </c>
      <c r="H40" s="184"/>
      <c r="I40" s="184"/>
      <c r="J40" s="185"/>
      <c r="K40" s="164"/>
      <c r="L40" s="166" t="s">
        <v>175</v>
      </c>
      <c r="M40" s="166"/>
      <c r="N40" s="166"/>
      <c r="O40" s="166"/>
      <c r="P40" s="156"/>
    </row>
    <row r="41" spans="7:16" ht="78.75" x14ac:dyDescent="0.25">
      <c r="G41" s="167"/>
      <c r="H41" s="104" t="s">
        <v>124</v>
      </c>
      <c r="I41" s="104" t="s">
        <v>125</v>
      </c>
      <c r="J41" s="104" t="s">
        <v>126</v>
      </c>
      <c r="K41" s="164"/>
      <c r="L41" s="167"/>
      <c r="M41" s="104" t="s">
        <v>124</v>
      </c>
      <c r="N41" s="104" t="s">
        <v>125</v>
      </c>
      <c r="O41" s="104" t="s">
        <v>126</v>
      </c>
      <c r="P41" s="156"/>
    </row>
    <row r="42" spans="7:16" ht="47.25" x14ac:dyDescent="0.25">
      <c r="G42" s="104" t="s">
        <v>120</v>
      </c>
      <c r="H42" s="168" t="s">
        <v>179</v>
      </c>
      <c r="I42" s="169">
        <v>12</v>
      </c>
      <c r="J42" s="170">
        <v>0.88271838366358457</v>
      </c>
      <c r="K42" s="164"/>
      <c r="L42" s="104" t="s">
        <v>120</v>
      </c>
      <c r="M42" s="174" t="s">
        <v>181</v>
      </c>
      <c r="N42" s="175">
        <v>8</v>
      </c>
      <c r="O42" s="176">
        <v>0.72787851389841518</v>
      </c>
      <c r="P42" s="156"/>
    </row>
    <row r="43" spans="7:16" ht="63" x14ac:dyDescent="0.25">
      <c r="G43" s="104" t="s">
        <v>121</v>
      </c>
      <c r="H43" s="170">
        <v>8.3848797067407936</v>
      </c>
      <c r="I43" s="169">
        <v>12</v>
      </c>
      <c r="J43" s="170">
        <v>0.75437668874820019</v>
      </c>
      <c r="K43" s="164"/>
      <c r="L43" s="104" t="s">
        <v>121</v>
      </c>
      <c r="M43" s="176">
        <v>5.4568455252686441</v>
      </c>
      <c r="N43" s="175">
        <v>8</v>
      </c>
      <c r="O43" s="176">
        <v>0.70781631596215266</v>
      </c>
      <c r="P43" s="156"/>
    </row>
    <row r="44" spans="7:16" ht="63" x14ac:dyDescent="0.25">
      <c r="G44" s="104" t="s">
        <v>122</v>
      </c>
      <c r="H44" s="170">
        <v>0.83517851694827316</v>
      </c>
      <c r="I44" s="169">
        <v>1</v>
      </c>
      <c r="J44" s="170">
        <v>0.36077936832984414</v>
      </c>
      <c r="K44" s="164"/>
      <c r="L44" s="104" t="s">
        <v>122</v>
      </c>
      <c r="M44" s="176">
        <v>0.82808658294114212</v>
      </c>
      <c r="N44" s="175">
        <v>1</v>
      </c>
      <c r="O44" s="176">
        <v>0.36282639763434066</v>
      </c>
      <c r="P44" s="156"/>
    </row>
    <row r="45" spans="7:16" ht="63" x14ac:dyDescent="0.25">
      <c r="G45" s="104" t="s">
        <v>123</v>
      </c>
      <c r="H45" s="169">
        <v>100</v>
      </c>
      <c r="I45" s="171"/>
      <c r="J45" s="172"/>
      <c r="K45" s="164"/>
      <c r="L45" s="104" t="s">
        <v>123</v>
      </c>
      <c r="M45" s="175">
        <v>100</v>
      </c>
      <c r="N45" s="177"/>
      <c r="O45" s="178"/>
      <c r="P45" s="156"/>
    </row>
    <row r="46" spans="7:16" ht="15" customHeight="1" x14ac:dyDescent="0.25">
      <c r="G46" s="165" t="s">
        <v>178</v>
      </c>
      <c r="H46" s="165"/>
      <c r="I46" s="165"/>
      <c r="J46" s="165"/>
      <c r="K46" s="164"/>
      <c r="L46" s="173" t="s">
        <v>180</v>
      </c>
      <c r="M46" s="173"/>
      <c r="N46" s="173"/>
      <c r="O46" s="173"/>
      <c r="P46" s="156"/>
    </row>
  </sheetData>
  <mergeCells count="25">
    <mergeCell ref="A28:A29"/>
    <mergeCell ref="G27:J27"/>
    <mergeCell ref="G21:J21"/>
    <mergeCell ref="H13:H14"/>
    <mergeCell ref="H15:H16"/>
    <mergeCell ref="F13:G16"/>
    <mergeCell ref="F17:H18"/>
    <mergeCell ref="G31:J31"/>
    <mergeCell ref="G37:J37"/>
    <mergeCell ref="G40:J40"/>
    <mergeCell ref="G46:J46"/>
    <mergeCell ref="L40:O40"/>
    <mergeCell ref="L46:O46"/>
    <mergeCell ref="F10:L10"/>
    <mergeCell ref="F11:H12"/>
    <mergeCell ref="I11:K11"/>
    <mergeCell ref="L11:L12"/>
    <mergeCell ref="A26:A27"/>
    <mergeCell ref="A24:A25"/>
    <mergeCell ref="A11:A14"/>
    <mergeCell ref="A15:A17"/>
    <mergeCell ref="A9:A10"/>
    <mergeCell ref="A18:A19"/>
    <mergeCell ref="A20:A21"/>
    <mergeCell ref="A22:A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CCB04-8602-4D11-B589-E3923C513EB4}">
  <dimension ref="A2:T101"/>
  <sheetViews>
    <sheetView topLeftCell="W1" workbookViewId="0">
      <selection activeCell="R1" sqref="R1:T1048576"/>
    </sheetView>
  </sheetViews>
  <sheetFormatPr baseColWidth="10" defaultRowHeight="15" x14ac:dyDescent="0.25"/>
  <cols>
    <col min="1" max="1" width="21" bestFit="1" customWidth="1"/>
    <col min="2" max="2" width="23.85546875" bestFit="1" customWidth="1"/>
    <col min="3" max="4" width="3" bestFit="1" customWidth="1"/>
    <col min="5" max="5" width="12.5703125" bestFit="1" customWidth="1"/>
    <col min="6" max="6" width="3.85546875" bestFit="1" customWidth="1"/>
    <col min="7" max="7" width="3" bestFit="1" customWidth="1"/>
    <col min="8" max="8" width="2" bestFit="1" customWidth="1"/>
    <col min="9" max="9" width="6.85546875" bestFit="1" customWidth="1"/>
    <col min="10" max="10" width="12.5703125" bestFit="1" customWidth="1"/>
    <col min="11" max="11" width="12" bestFit="1" customWidth="1"/>
    <col min="12" max="12" width="2" bestFit="1" customWidth="1"/>
    <col min="13" max="13" width="15" bestFit="1" customWidth="1"/>
  </cols>
  <sheetData>
    <row r="2" spans="1:20" ht="17.25" thickBot="1" x14ac:dyDescent="0.3">
      <c r="P2">
        <v>1</v>
      </c>
      <c r="Q2" s="41" t="s">
        <v>130</v>
      </c>
      <c r="R2">
        <v>2</v>
      </c>
      <c r="T2" t="s">
        <v>131</v>
      </c>
    </row>
    <row r="3" spans="1:20" ht="17.25" thickBot="1" x14ac:dyDescent="0.3">
      <c r="A3" s="2" t="s">
        <v>35</v>
      </c>
      <c r="B3" s="2" t="s">
        <v>34</v>
      </c>
      <c r="M3" s="40" t="s">
        <v>127</v>
      </c>
      <c r="N3" s="40" t="s">
        <v>128</v>
      </c>
      <c r="P3">
        <v>2</v>
      </c>
      <c r="Q3" s="41" t="s">
        <v>131</v>
      </c>
      <c r="R3">
        <v>3</v>
      </c>
      <c r="T3" t="s">
        <v>132</v>
      </c>
    </row>
    <row r="4" spans="1:20" ht="17.25" thickBot="1" x14ac:dyDescent="0.3">
      <c r="A4" s="2" t="s">
        <v>28</v>
      </c>
      <c r="B4" s="1">
        <v>1</v>
      </c>
      <c r="C4" s="1">
        <v>2</v>
      </c>
      <c r="D4" s="1">
        <v>3</v>
      </c>
      <c r="E4" s="1" t="s">
        <v>33</v>
      </c>
      <c r="J4" s="41" t="s">
        <v>130</v>
      </c>
      <c r="K4">
        <v>1</v>
      </c>
      <c r="M4" s="41" t="s">
        <v>129</v>
      </c>
      <c r="N4" s="41" t="s">
        <v>130</v>
      </c>
      <c r="P4">
        <v>3</v>
      </c>
      <c r="Q4" s="41" t="s">
        <v>132</v>
      </c>
      <c r="R4">
        <v>5</v>
      </c>
      <c r="T4" t="s">
        <v>137</v>
      </c>
    </row>
    <row r="5" spans="1:20" ht="17.25" thickBot="1" x14ac:dyDescent="0.3">
      <c r="A5" s="8">
        <v>1</v>
      </c>
      <c r="B5">
        <v>20</v>
      </c>
      <c r="C5">
        <v>10</v>
      </c>
      <c r="D5">
        <v>4</v>
      </c>
      <c r="E5">
        <v>34</v>
      </c>
      <c r="J5" s="41" t="s">
        <v>131</v>
      </c>
      <c r="K5">
        <v>2</v>
      </c>
      <c r="M5" s="41" t="s">
        <v>68</v>
      </c>
      <c r="N5" s="41" t="s">
        <v>131</v>
      </c>
      <c r="P5">
        <v>10</v>
      </c>
      <c r="Q5" s="41" t="s">
        <v>133</v>
      </c>
      <c r="R5">
        <v>5</v>
      </c>
      <c r="T5" t="s">
        <v>137</v>
      </c>
    </row>
    <row r="6" spans="1:20" ht="17.25" thickBot="1" x14ac:dyDescent="0.3">
      <c r="A6" s="8">
        <v>2</v>
      </c>
      <c r="B6">
        <v>17</v>
      </c>
      <c r="C6">
        <v>14</v>
      </c>
      <c r="D6">
        <v>12</v>
      </c>
      <c r="E6">
        <v>43</v>
      </c>
      <c r="J6" s="41" t="s">
        <v>132</v>
      </c>
      <c r="K6">
        <v>3</v>
      </c>
      <c r="M6" s="41" t="s">
        <v>69</v>
      </c>
      <c r="N6" s="41" t="s">
        <v>132</v>
      </c>
      <c r="P6">
        <v>4</v>
      </c>
      <c r="Q6" s="41" t="s">
        <v>135</v>
      </c>
      <c r="R6">
        <v>5</v>
      </c>
      <c r="T6" t="s">
        <v>137</v>
      </c>
    </row>
    <row r="7" spans="1:20" ht="17.25" thickBot="1" x14ac:dyDescent="0.3">
      <c r="A7" s="8">
        <v>3</v>
      </c>
      <c r="B7">
        <v>12</v>
      </c>
      <c r="C7">
        <v>6</v>
      </c>
      <c r="D7">
        <v>3</v>
      </c>
      <c r="E7">
        <v>21</v>
      </c>
      <c r="J7" s="41" t="s">
        <v>133</v>
      </c>
      <c r="K7">
        <v>10</v>
      </c>
      <c r="M7" s="41" t="s">
        <v>76</v>
      </c>
      <c r="N7" s="41" t="s">
        <v>133</v>
      </c>
      <c r="P7">
        <v>5</v>
      </c>
      <c r="Q7" s="41" t="s">
        <v>137</v>
      </c>
      <c r="R7">
        <v>7</v>
      </c>
      <c r="T7" t="s">
        <v>140</v>
      </c>
    </row>
    <row r="8" spans="1:20" ht="17.25" thickBot="1" x14ac:dyDescent="0.3">
      <c r="A8" s="8">
        <v>4</v>
      </c>
      <c r="B8">
        <v>2</v>
      </c>
      <c r="E8">
        <v>2</v>
      </c>
      <c r="J8" s="41" t="s">
        <v>135</v>
      </c>
      <c r="K8">
        <v>4</v>
      </c>
      <c r="M8" s="41" t="s">
        <v>134</v>
      </c>
      <c r="N8" s="41" t="s">
        <v>135</v>
      </c>
      <c r="P8">
        <v>6</v>
      </c>
      <c r="Q8" s="41" t="s">
        <v>139</v>
      </c>
      <c r="R8">
        <v>8</v>
      </c>
      <c r="T8" t="s">
        <v>141</v>
      </c>
    </row>
    <row r="9" spans="1:20" ht="17.25" thickBot="1" x14ac:dyDescent="0.3">
      <c r="A9" s="8" t="s">
        <v>33</v>
      </c>
      <c r="B9">
        <v>51</v>
      </c>
      <c r="C9">
        <v>30</v>
      </c>
      <c r="D9">
        <v>19</v>
      </c>
      <c r="E9">
        <v>100</v>
      </c>
      <c r="J9" s="41" t="s">
        <v>137</v>
      </c>
      <c r="K9">
        <v>5</v>
      </c>
      <c r="M9" s="41" t="s">
        <v>136</v>
      </c>
      <c r="N9" s="41" t="s">
        <v>137</v>
      </c>
      <c r="P9">
        <v>7</v>
      </c>
      <c r="Q9" s="41" t="s">
        <v>140</v>
      </c>
      <c r="R9">
        <v>9</v>
      </c>
      <c r="T9" t="s">
        <v>142</v>
      </c>
    </row>
    <row r="10" spans="1:20" ht="17.25" thickBot="1" x14ac:dyDescent="0.3">
      <c r="B10" s="123" t="s">
        <v>64</v>
      </c>
      <c r="C10" s="123"/>
      <c r="J10" s="41" t="s">
        <v>139</v>
      </c>
      <c r="K10">
        <v>6</v>
      </c>
      <c r="M10" s="41" t="s">
        <v>138</v>
      </c>
      <c r="N10" s="41" t="s">
        <v>139</v>
      </c>
      <c r="P10">
        <v>8</v>
      </c>
      <c r="Q10" s="41" t="s">
        <v>141</v>
      </c>
      <c r="R10">
        <v>6</v>
      </c>
      <c r="T10" t="s">
        <v>139</v>
      </c>
    </row>
    <row r="11" spans="1:20" ht="17.25" thickBot="1" x14ac:dyDescent="0.3">
      <c r="A11" s="3" t="s">
        <v>60</v>
      </c>
      <c r="B11" s="3" t="s">
        <v>61</v>
      </c>
      <c r="C11" s="3" t="s">
        <v>62</v>
      </c>
      <c r="J11" s="41" t="s">
        <v>140</v>
      </c>
      <c r="K11">
        <v>7</v>
      </c>
      <c r="M11" s="41" t="s">
        <v>73</v>
      </c>
      <c r="N11" s="41" t="s">
        <v>140</v>
      </c>
      <c r="P11">
        <v>9</v>
      </c>
      <c r="Q11" s="41" t="s">
        <v>142</v>
      </c>
      <c r="R11">
        <v>3</v>
      </c>
      <c r="T11" t="s">
        <v>132</v>
      </c>
    </row>
    <row r="12" spans="1:20" ht="17.25" thickBot="1" x14ac:dyDescent="0.3">
      <c r="A12" s="3" t="s">
        <v>29</v>
      </c>
      <c r="B12" s="3">
        <v>7</v>
      </c>
      <c r="C12" s="3">
        <v>6</v>
      </c>
      <c r="J12" s="41" t="s">
        <v>141</v>
      </c>
      <c r="K12">
        <v>8</v>
      </c>
      <c r="M12" s="41" t="s">
        <v>74</v>
      </c>
      <c r="N12" s="41" t="s">
        <v>141</v>
      </c>
      <c r="R12">
        <v>1</v>
      </c>
      <c r="T12" t="s">
        <v>130</v>
      </c>
    </row>
    <row r="13" spans="1:20" ht="17.25" thickBot="1" x14ac:dyDescent="0.3">
      <c r="A13" s="3" t="s">
        <v>30</v>
      </c>
      <c r="B13" s="3">
        <v>22</v>
      </c>
      <c r="C13" s="3">
        <v>22</v>
      </c>
      <c r="J13" s="41" t="s">
        <v>142</v>
      </c>
      <c r="K13">
        <v>9</v>
      </c>
      <c r="M13" s="41" t="s">
        <v>75</v>
      </c>
      <c r="N13" s="41" t="s">
        <v>142</v>
      </c>
      <c r="R13">
        <v>1</v>
      </c>
      <c r="T13" t="s">
        <v>130</v>
      </c>
    </row>
    <row r="14" spans="1:20" ht="15.75" x14ac:dyDescent="0.25">
      <c r="A14" s="3" t="s">
        <v>31</v>
      </c>
      <c r="B14" s="3">
        <v>20</v>
      </c>
      <c r="C14" s="3">
        <v>11</v>
      </c>
      <c r="R14">
        <v>1</v>
      </c>
      <c r="T14" t="s">
        <v>130</v>
      </c>
    </row>
    <row r="15" spans="1:20" ht="15.75" x14ac:dyDescent="0.25">
      <c r="A15" s="3" t="s">
        <v>32</v>
      </c>
      <c r="B15" s="3">
        <v>7</v>
      </c>
      <c r="C15" s="3">
        <v>5</v>
      </c>
      <c r="R15">
        <v>2</v>
      </c>
      <c r="T15" t="s">
        <v>131</v>
      </c>
    </row>
    <row r="16" spans="1:20" x14ac:dyDescent="0.25">
      <c r="R16">
        <v>5</v>
      </c>
      <c r="T16" t="s">
        <v>137</v>
      </c>
    </row>
    <row r="17" spans="18:20" x14ac:dyDescent="0.25">
      <c r="R17">
        <v>7</v>
      </c>
      <c r="T17" t="s">
        <v>140</v>
      </c>
    </row>
    <row r="18" spans="18:20" x14ac:dyDescent="0.25">
      <c r="R18">
        <v>8</v>
      </c>
      <c r="T18" t="s">
        <v>141</v>
      </c>
    </row>
    <row r="19" spans="18:20" x14ac:dyDescent="0.25">
      <c r="R19">
        <v>9</v>
      </c>
      <c r="T19" t="s">
        <v>142</v>
      </c>
    </row>
    <row r="20" spans="18:20" x14ac:dyDescent="0.25">
      <c r="R20">
        <v>3</v>
      </c>
      <c r="T20" t="s">
        <v>132</v>
      </c>
    </row>
    <row r="21" spans="18:20" x14ac:dyDescent="0.25">
      <c r="R21">
        <v>10</v>
      </c>
      <c r="T21" t="s">
        <v>133</v>
      </c>
    </row>
    <row r="22" spans="18:20" x14ac:dyDescent="0.25">
      <c r="R22">
        <v>10</v>
      </c>
      <c r="T22" t="s">
        <v>133</v>
      </c>
    </row>
    <row r="23" spans="18:20" x14ac:dyDescent="0.25">
      <c r="R23">
        <v>10</v>
      </c>
      <c r="T23" t="s">
        <v>133</v>
      </c>
    </row>
    <row r="24" spans="18:20" x14ac:dyDescent="0.25">
      <c r="R24">
        <v>10</v>
      </c>
      <c r="T24" t="s">
        <v>133</v>
      </c>
    </row>
    <row r="25" spans="18:20" x14ac:dyDescent="0.25">
      <c r="R25">
        <v>10</v>
      </c>
      <c r="T25" t="s">
        <v>133</v>
      </c>
    </row>
    <row r="26" spans="18:20" x14ac:dyDescent="0.25">
      <c r="R26">
        <v>3</v>
      </c>
      <c r="T26" t="s">
        <v>132</v>
      </c>
    </row>
    <row r="27" spans="18:20" x14ac:dyDescent="0.25">
      <c r="R27">
        <v>3</v>
      </c>
      <c r="T27" t="s">
        <v>132</v>
      </c>
    </row>
    <row r="28" spans="18:20" x14ac:dyDescent="0.25">
      <c r="R28">
        <v>3</v>
      </c>
      <c r="T28" t="s">
        <v>132</v>
      </c>
    </row>
    <row r="29" spans="18:20" x14ac:dyDescent="0.25">
      <c r="R29">
        <v>3</v>
      </c>
      <c r="T29" t="s">
        <v>132</v>
      </c>
    </row>
    <row r="30" spans="18:20" x14ac:dyDescent="0.25">
      <c r="R30">
        <v>4</v>
      </c>
      <c r="T30" t="s">
        <v>135</v>
      </c>
    </row>
    <row r="31" spans="18:20" x14ac:dyDescent="0.25">
      <c r="R31">
        <v>4</v>
      </c>
      <c r="T31" t="s">
        <v>135</v>
      </c>
    </row>
    <row r="32" spans="18:20" x14ac:dyDescent="0.25">
      <c r="R32">
        <v>4</v>
      </c>
      <c r="T32" t="s">
        <v>135</v>
      </c>
    </row>
    <row r="33" spans="18:20" x14ac:dyDescent="0.25">
      <c r="R33">
        <v>4</v>
      </c>
      <c r="T33" t="s">
        <v>135</v>
      </c>
    </row>
    <row r="34" spans="18:20" x14ac:dyDescent="0.25">
      <c r="R34">
        <v>8</v>
      </c>
      <c r="T34" t="s">
        <v>141</v>
      </c>
    </row>
    <row r="35" spans="18:20" x14ac:dyDescent="0.25">
      <c r="R35">
        <v>7</v>
      </c>
      <c r="T35" t="s">
        <v>140</v>
      </c>
    </row>
    <row r="36" spans="18:20" x14ac:dyDescent="0.25">
      <c r="R36">
        <v>8</v>
      </c>
      <c r="T36" t="s">
        <v>141</v>
      </c>
    </row>
    <row r="37" spans="18:20" x14ac:dyDescent="0.25">
      <c r="R37">
        <v>7</v>
      </c>
      <c r="T37" t="s">
        <v>140</v>
      </c>
    </row>
    <row r="38" spans="18:20" x14ac:dyDescent="0.25">
      <c r="R38">
        <v>7</v>
      </c>
      <c r="T38" t="s">
        <v>140</v>
      </c>
    </row>
    <row r="39" spans="18:20" x14ac:dyDescent="0.25">
      <c r="R39">
        <v>7</v>
      </c>
      <c r="T39" t="s">
        <v>140</v>
      </c>
    </row>
    <row r="40" spans="18:20" x14ac:dyDescent="0.25">
      <c r="R40">
        <v>1</v>
      </c>
      <c r="T40" t="s">
        <v>130</v>
      </c>
    </row>
    <row r="41" spans="18:20" x14ac:dyDescent="0.25">
      <c r="R41">
        <v>1</v>
      </c>
      <c r="T41" t="s">
        <v>130</v>
      </c>
    </row>
    <row r="42" spans="18:20" x14ac:dyDescent="0.25">
      <c r="R42">
        <v>1</v>
      </c>
      <c r="T42" t="s">
        <v>130</v>
      </c>
    </row>
    <row r="43" spans="18:20" x14ac:dyDescent="0.25">
      <c r="R43">
        <v>1</v>
      </c>
      <c r="T43" t="s">
        <v>130</v>
      </c>
    </row>
    <row r="44" spans="18:20" x14ac:dyDescent="0.25">
      <c r="R44">
        <v>1</v>
      </c>
      <c r="T44" t="s">
        <v>130</v>
      </c>
    </row>
    <row r="45" spans="18:20" x14ac:dyDescent="0.25">
      <c r="R45">
        <v>1</v>
      </c>
      <c r="T45" t="s">
        <v>130</v>
      </c>
    </row>
    <row r="46" spans="18:20" x14ac:dyDescent="0.25">
      <c r="R46">
        <v>1</v>
      </c>
      <c r="T46" t="s">
        <v>130</v>
      </c>
    </row>
    <row r="47" spans="18:20" x14ac:dyDescent="0.25">
      <c r="R47">
        <v>1</v>
      </c>
      <c r="T47" t="s">
        <v>130</v>
      </c>
    </row>
    <row r="48" spans="18:20" x14ac:dyDescent="0.25">
      <c r="R48">
        <v>1</v>
      </c>
      <c r="T48" t="s">
        <v>130</v>
      </c>
    </row>
    <row r="49" spans="18:20" x14ac:dyDescent="0.25">
      <c r="R49">
        <v>2</v>
      </c>
      <c r="T49" t="s">
        <v>131</v>
      </c>
    </row>
    <row r="50" spans="18:20" x14ac:dyDescent="0.25">
      <c r="R50">
        <v>2</v>
      </c>
      <c r="T50" t="s">
        <v>131</v>
      </c>
    </row>
    <row r="51" spans="18:20" x14ac:dyDescent="0.25">
      <c r="R51">
        <v>2</v>
      </c>
      <c r="T51" t="s">
        <v>131</v>
      </c>
    </row>
    <row r="52" spans="18:20" x14ac:dyDescent="0.25">
      <c r="R52">
        <v>2</v>
      </c>
      <c r="T52" t="s">
        <v>131</v>
      </c>
    </row>
    <row r="53" spans="18:20" x14ac:dyDescent="0.25">
      <c r="R53">
        <v>6</v>
      </c>
      <c r="T53" t="s">
        <v>139</v>
      </c>
    </row>
    <row r="54" spans="18:20" x14ac:dyDescent="0.25">
      <c r="R54">
        <v>4</v>
      </c>
      <c r="T54" t="s">
        <v>135</v>
      </c>
    </row>
    <row r="55" spans="18:20" x14ac:dyDescent="0.25">
      <c r="R55">
        <v>9</v>
      </c>
      <c r="T55" t="s">
        <v>142</v>
      </c>
    </row>
    <row r="56" spans="18:20" x14ac:dyDescent="0.25">
      <c r="R56">
        <v>9</v>
      </c>
      <c r="T56" t="s">
        <v>142</v>
      </c>
    </row>
    <row r="57" spans="18:20" x14ac:dyDescent="0.25">
      <c r="R57">
        <v>9</v>
      </c>
      <c r="T57" t="s">
        <v>142</v>
      </c>
    </row>
    <row r="58" spans="18:20" x14ac:dyDescent="0.25">
      <c r="R58">
        <v>6</v>
      </c>
      <c r="T58" t="s">
        <v>139</v>
      </c>
    </row>
    <row r="59" spans="18:20" x14ac:dyDescent="0.25">
      <c r="R59">
        <v>8</v>
      </c>
      <c r="T59" t="s">
        <v>141</v>
      </c>
    </row>
    <row r="60" spans="18:20" x14ac:dyDescent="0.25">
      <c r="R60">
        <v>8</v>
      </c>
      <c r="T60" t="s">
        <v>141</v>
      </c>
    </row>
    <row r="61" spans="18:20" x14ac:dyDescent="0.25">
      <c r="R61">
        <v>8</v>
      </c>
      <c r="T61" t="s">
        <v>141</v>
      </c>
    </row>
    <row r="62" spans="18:20" x14ac:dyDescent="0.25">
      <c r="R62">
        <v>6</v>
      </c>
      <c r="T62" t="s">
        <v>139</v>
      </c>
    </row>
    <row r="63" spans="18:20" x14ac:dyDescent="0.25">
      <c r="R63">
        <v>5</v>
      </c>
      <c r="T63" t="s">
        <v>137</v>
      </c>
    </row>
    <row r="64" spans="18:20" x14ac:dyDescent="0.25">
      <c r="R64">
        <v>5</v>
      </c>
      <c r="T64" t="s">
        <v>137</v>
      </c>
    </row>
    <row r="65" spans="18:20" x14ac:dyDescent="0.25">
      <c r="R65">
        <v>5</v>
      </c>
      <c r="T65" t="s">
        <v>137</v>
      </c>
    </row>
    <row r="66" spans="18:20" x14ac:dyDescent="0.25">
      <c r="R66">
        <v>6</v>
      </c>
      <c r="T66" t="s">
        <v>139</v>
      </c>
    </row>
    <row r="67" spans="18:20" x14ac:dyDescent="0.25">
      <c r="R67">
        <v>7</v>
      </c>
      <c r="T67" t="s">
        <v>140</v>
      </c>
    </row>
    <row r="68" spans="18:20" x14ac:dyDescent="0.25">
      <c r="R68">
        <v>7</v>
      </c>
      <c r="T68" t="s">
        <v>140</v>
      </c>
    </row>
    <row r="69" spans="18:20" x14ac:dyDescent="0.25">
      <c r="R69">
        <v>7</v>
      </c>
      <c r="T69" t="s">
        <v>140</v>
      </c>
    </row>
    <row r="70" spans="18:20" x14ac:dyDescent="0.25">
      <c r="R70">
        <v>7</v>
      </c>
      <c r="T70" t="s">
        <v>140</v>
      </c>
    </row>
    <row r="71" spans="18:20" x14ac:dyDescent="0.25">
      <c r="R71">
        <v>7</v>
      </c>
      <c r="T71" t="s">
        <v>140</v>
      </c>
    </row>
    <row r="72" spans="18:20" x14ac:dyDescent="0.25">
      <c r="R72">
        <v>5</v>
      </c>
      <c r="T72" t="s">
        <v>137</v>
      </c>
    </row>
    <row r="73" spans="18:20" x14ac:dyDescent="0.25">
      <c r="R73">
        <v>5</v>
      </c>
      <c r="T73" t="s">
        <v>137</v>
      </c>
    </row>
    <row r="74" spans="18:20" x14ac:dyDescent="0.25">
      <c r="R74">
        <v>5</v>
      </c>
      <c r="T74" t="s">
        <v>137</v>
      </c>
    </row>
    <row r="75" spans="18:20" x14ac:dyDescent="0.25">
      <c r="R75">
        <v>3</v>
      </c>
      <c r="T75" t="s">
        <v>132</v>
      </c>
    </row>
    <row r="76" spans="18:20" x14ac:dyDescent="0.25">
      <c r="R76">
        <v>3</v>
      </c>
      <c r="T76" t="s">
        <v>132</v>
      </c>
    </row>
    <row r="77" spans="18:20" x14ac:dyDescent="0.25">
      <c r="R77">
        <v>8</v>
      </c>
      <c r="T77" t="s">
        <v>141</v>
      </c>
    </row>
    <row r="78" spans="18:20" x14ac:dyDescent="0.25">
      <c r="R78">
        <v>1</v>
      </c>
      <c r="T78" t="s">
        <v>130</v>
      </c>
    </row>
    <row r="79" spans="18:20" x14ac:dyDescent="0.25">
      <c r="R79">
        <v>1</v>
      </c>
      <c r="T79" t="s">
        <v>130</v>
      </c>
    </row>
    <row r="80" spans="18:20" x14ac:dyDescent="0.25">
      <c r="R80">
        <v>2</v>
      </c>
      <c r="T80" t="s">
        <v>131</v>
      </c>
    </row>
    <row r="81" spans="18:20" x14ac:dyDescent="0.25">
      <c r="R81">
        <v>7</v>
      </c>
      <c r="T81" t="s">
        <v>140</v>
      </c>
    </row>
    <row r="82" spans="18:20" x14ac:dyDescent="0.25">
      <c r="R82">
        <v>8</v>
      </c>
      <c r="T82" t="s">
        <v>141</v>
      </c>
    </row>
    <row r="83" spans="18:20" x14ac:dyDescent="0.25">
      <c r="R83">
        <v>9</v>
      </c>
      <c r="T83" t="s">
        <v>142</v>
      </c>
    </row>
    <row r="84" spans="18:20" x14ac:dyDescent="0.25">
      <c r="R84">
        <v>6</v>
      </c>
      <c r="T84" t="s">
        <v>139</v>
      </c>
    </row>
    <row r="85" spans="18:20" x14ac:dyDescent="0.25">
      <c r="R85">
        <v>6</v>
      </c>
      <c r="T85" t="s">
        <v>139</v>
      </c>
    </row>
    <row r="86" spans="18:20" x14ac:dyDescent="0.25">
      <c r="R86">
        <v>6</v>
      </c>
      <c r="T86" t="s">
        <v>139</v>
      </c>
    </row>
    <row r="87" spans="18:20" x14ac:dyDescent="0.25">
      <c r="R87">
        <v>6</v>
      </c>
      <c r="T87" t="s">
        <v>139</v>
      </c>
    </row>
    <row r="88" spans="18:20" x14ac:dyDescent="0.25">
      <c r="R88">
        <v>3</v>
      </c>
      <c r="T88" t="s">
        <v>132</v>
      </c>
    </row>
    <row r="89" spans="18:20" x14ac:dyDescent="0.25">
      <c r="R89">
        <v>2</v>
      </c>
      <c r="T89" t="s">
        <v>131</v>
      </c>
    </row>
    <row r="90" spans="18:20" x14ac:dyDescent="0.25">
      <c r="R90">
        <v>1</v>
      </c>
      <c r="T90" t="s">
        <v>130</v>
      </c>
    </row>
    <row r="91" spans="18:20" x14ac:dyDescent="0.25">
      <c r="R91">
        <v>4</v>
      </c>
      <c r="T91" t="s">
        <v>135</v>
      </c>
    </row>
    <row r="92" spans="18:20" x14ac:dyDescent="0.25">
      <c r="R92">
        <v>7</v>
      </c>
      <c r="T92" t="s">
        <v>140</v>
      </c>
    </row>
    <row r="93" spans="18:20" x14ac:dyDescent="0.25">
      <c r="R93">
        <v>8</v>
      </c>
      <c r="T93" t="s">
        <v>141</v>
      </c>
    </row>
    <row r="94" spans="18:20" x14ac:dyDescent="0.25">
      <c r="R94">
        <v>9</v>
      </c>
      <c r="T94" t="s">
        <v>142</v>
      </c>
    </row>
    <row r="95" spans="18:20" x14ac:dyDescent="0.25">
      <c r="R95">
        <v>10</v>
      </c>
      <c r="T95" t="s">
        <v>133</v>
      </c>
    </row>
    <row r="96" spans="18:20" x14ac:dyDescent="0.25">
      <c r="R96">
        <v>4</v>
      </c>
      <c r="T96" t="s">
        <v>135</v>
      </c>
    </row>
    <row r="97" spans="18:20" x14ac:dyDescent="0.25">
      <c r="R97">
        <v>5</v>
      </c>
      <c r="T97" t="s">
        <v>137</v>
      </c>
    </row>
    <row r="98" spans="18:20" x14ac:dyDescent="0.25">
      <c r="R98">
        <v>6</v>
      </c>
      <c r="T98" t="s">
        <v>139</v>
      </c>
    </row>
    <row r="99" spans="18:20" x14ac:dyDescent="0.25">
      <c r="R99">
        <v>3</v>
      </c>
      <c r="T99" t="s">
        <v>132</v>
      </c>
    </row>
    <row r="100" spans="18:20" x14ac:dyDescent="0.25">
      <c r="R100">
        <v>2</v>
      </c>
      <c r="T100" t="s">
        <v>131</v>
      </c>
    </row>
    <row r="101" spans="18:20" x14ac:dyDescent="0.25">
      <c r="R101">
        <v>1</v>
      </c>
      <c r="T101" t="s">
        <v>130</v>
      </c>
    </row>
  </sheetData>
  <mergeCells count="1">
    <mergeCell ref="B10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EEFA-A936-4B3D-8721-6A8CD24C75A6}">
  <dimension ref="A1:C6"/>
  <sheetViews>
    <sheetView workbookViewId="0">
      <selection activeCell="B19" sqref="B19"/>
    </sheetView>
  </sheetViews>
  <sheetFormatPr baseColWidth="10" defaultRowHeight="15" x14ac:dyDescent="0.25"/>
  <cols>
    <col min="1" max="1" width="13.42578125" bestFit="1" customWidth="1"/>
    <col min="2" max="2" width="26.5703125" bestFit="1" customWidth="1"/>
    <col min="3" max="3" width="37" bestFit="1" customWidth="1"/>
  </cols>
  <sheetData>
    <row r="1" spans="1:3" x14ac:dyDescent="0.25">
      <c r="B1" s="124" t="s">
        <v>64</v>
      </c>
      <c r="C1" s="124"/>
    </row>
    <row r="2" spans="1:3" ht="15.75" x14ac:dyDescent="0.25">
      <c r="A2" s="4" t="s">
        <v>60</v>
      </c>
      <c r="B2" s="4" t="s">
        <v>61</v>
      </c>
      <c r="C2" s="4" t="s">
        <v>62</v>
      </c>
    </row>
    <row r="3" spans="1:3" ht="15.75" x14ac:dyDescent="0.25">
      <c r="A3" s="4" t="s">
        <v>29</v>
      </c>
      <c r="B3" s="3">
        <v>7</v>
      </c>
      <c r="C3" s="3">
        <v>6</v>
      </c>
    </row>
    <row r="4" spans="1:3" ht="15.75" x14ac:dyDescent="0.25">
      <c r="A4" s="4" t="s">
        <v>30</v>
      </c>
      <c r="B4" s="3">
        <v>22</v>
      </c>
      <c r="C4" s="3">
        <v>22</v>
      </c>
    </row>
    <row r="5" spans="1:3" ht="15.75" x14ac:dyDescent="0.25">
      <c r="A5" s="4" t="s">
        <v>31</v>
      </c>
      <c r="B5" s="3">
        <v>20</v>
      </c>
      <c r="C5" s="3">
        <v>11</v>
      </c>
    </row>
    <row r="6" spans="1:3" ht="15.75" x14ac:dyDescent="0.25">
      <c r="A6" s="4" t="s">
        <v>32</v>
      </c>
      <c r="B6" s="3">
        <v>7</v>
      </c>
      <c r="C6" s="3">
        <v>5</v>
      </c>
    </row>
  </sheetData>
  <mergeCells count="1">
    <mergeCell ref="B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103"/>
  <sheetViews>
    <sheetView topLeftCell="G1" workbookViewId="0">
      <selection activeCell="AB1" sqref="AB1"/>
    </sheetView>
  </sheetViews>
  <sheetFormatPr baseColWidth="10" defaultColWidth="9.140625" defaultRowHeight="15" x14ac:dyDescent="0.25"/>
  <cols>
    <col min="2" max="3" width="8.85546875" customWidth="1"/>
    <col min="14" max="14" width="19.28515625" bestFit="1" customWidth="1"/>
    <col min="21" max="21" width="14.7109375" bestFit="1" customWidth="1"/>
  </cols>
  <sheetData>
    <row r="1" spans="1:30" x14ac:dyDescent="0.25">
      <c r="A1" t="s">
        <v>0</v>
      </c>
      <c r="B1" t="s">
        <v>1</v>
      </c>
      <c r="C1" t="s">
        <v>27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25</v>
      </c>
      <c r="V1" t="s">
        <v>26</v>
      </c>
      <c r="W1" t="s">
        <v>24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</row>
    <row r="2" spans="1:30" x14ac:dyDescent="0.25">
      <c r="A2" s="1">
        <v>1</v>
      </c>
      <c r="B2" s="1">
        <v>36</v>
      </c>
      <c r="C2" s="1" t="str">
        <f>IF(B2&lt;26,"18-25 ans",IF(B2&lt;36,"26-35 ans",IF(B2&lt;46,"36-45 ans","46 ans et +")))</f>
        <v>36-45 ans</v>
      </c>
      <c r="D2" s="1">
        <v>1</v>
      </c>
      <c r="E2" s="1">
        <v>1</v>
      </c>
      <c r="F2" s="1">
        <v>1</v>
      </c>
      <c r="G2" s="1">
        <v>2</v>
      </c>
      <c r="H2" s="1">
        <v>1</v>
      </c>
      <c r="I2" s="1">
        <v>2</v>
      </c>
      <c r="J2" s="1">
        <v>5</v>
      </c>
      <c r="K2" s="1">
        <v>30000</v>
      </c>
      <c r="L2" s="1">
        <v>2</v>
      </c>
      <c r="M2" s="1">
        <v>0</v>
      </c>
      <c r="O2" s="1">
        <v>1</v>
      </c>
      <c r="P2" s="1">
        <v>2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4</v>
      </c>
      <c r="Z2" s="1">
        <v>0</v>
      </c>
      <c r="AA2" s="1">
        <v>0</v>
      </c>
      <c r="AB2">
        <v>1</v>
      </c>
      <c r="AC2">
        <f>IF(Z2=1,0,1)</f>
        <v>1</v>
      </c>
      <c r="AD2">
        <v>0</v>
      </c>
    </row>
    <row r="3" spans="1:30" x14ac:dyDescent="0.25">
      <c r="A3" s="1">
        <v>2</v>
      </c>
      <c r="B3" s="1">
        <v>22</v>
      </c>
      <c r="C3" s="1" t="str">
        <f t="shared" ref="C3:C66" si="0">IF(B3&lt;26,"18-25 ans",IF(B3&lt;36,"26-35 ans",IF(B3&lt;46,"36-45 ans","46 ans et +")))</f>
        <v>18-25 ans</v>
      </c>
      <c r="D3" s="1">
        <v>3</v>
      </c>
      <c r="E3" s="1">
        <v>3</v>
      </c>
      <c r="F3" s="1">
        <v>2</v>
      </c>
      <c r="G3" s="1">
        <v>1</v>
      </c>
      <c r="H3" s="1">
        <v>3</v>
      </c>
      <c r="I3" s="1">
        <v>1</v>
      </c>
      <c r="J3" s="1">
        <v>3</v>
      </c>
      <c r="K3" s="1">
        <v>120000</v>
      </c>
      <c r="L3" s="1">
        <v>1</v>
      </c>
      <c r="M3" s="1">
        <v>1</v>
      </c>
      <c r="N3" t="s">
        <v>81</v>
      </c>
      <c r="O3" s="1">
        <v>1</v>
      </c>
      <c r="P3" s="1">
        <v>1</v>
      </c>
      <c r="Q3" s="1">
        <v>1</v>
      </c>
      <c r="R3" s="1">
        <v>2</v>
      </c>
      <c r="S3" s="1">
        <v>1</v>
      </c>
      <c r="T3" s="1">
        <v>0</v>
      </c>
      <c r="U3" s="1">
        <v>1</v>
      </c>
      <c r="V3" s="1">
        <v>1</v>
      </c>
      <c r="W3" s="1">
        <v>1</v>
      </c>
      <c r="X3" s="1">
        <v>1</v>
      </c>
      <c r="Y3" s="1">
        <v>4</v>
      </c>
      <c r="Z3" s="1">
        <v>1</v>
      </c>
      <c r="AA3" s="1">
        <v>0</v>
      </c>
      <c r="AB3">
        <v>1</v>
      </c>
      <c r="AC3">
        <f t="shared" ref="AC3:AC66" si="1">IF(Z3=1,0,1)</f>
        <v>0</v>
      </c>
      <c r="AD3">
        <v>0</v>
      </c>
    </row>
    <row r="4" spans="1:30" x14ac:dyDescent="0.25">
      <c r="A4" s="1">
        <v>3</v>
      </c>
      <c r="B4" s="1">
        <v>33</v>
      </c>
      <c r="C4" s="1" t="str">
        <f t="shared" si="0"/>
        <v>26-35 ans</v>
      </c>
      <c r="D4" s="1">
        <v>1</v>
      </c>
      <c r="E4" s="1">
        <v>2</v>
      </c>
      <c r="F4" s="1">
        <v>2</v>
      </c>
      <c r="G4" s="1">
        <v>2</v>
      </c>
      <c r="H4" s="1">
        <v>2</v>
      </c>
      <c r="I4" s="1">
        <v>3</v>
      </c>
      <c r="J4" s="1">
        <v>2</v>
      </c>
      <c r="K4" s="1">
        <v>40000</v>
      </c>
      <c r="L4" s="1">
        <v>1</v>
      </c>
      <c r="M4" s="1">
        <v>1</v>
      </c>
      <c r="N4" t="s">
        <v>84</v>
      </c>
      <c r="O4" s="1">
        <v>1</v>
      </c>
      <c r="P4" s="1">
        <v>1</v>
      </c>
      <c r="Q4" s="1">
        <v>1</v>
      </c>
      <c r="R4" s="1">
        <v>3</v>
      </c>
      <c r="S4" s="1">
        <v>0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4</v>
      </c>
      <c r="Z4" s="1">
        <v>1</v>
      </c>
      <c r="AA4" s="1">
        <v>0</v>
      </c>
      <c r="AB4">
        <v>1</v>
      </c>
      <c r="AC4">
        <f t="shared" si="1"/>
        <v>0</v>
      </c>
      <c r="AD4">
        <v>0</v>
      </c>
    </row>
    <row r="5" spans="1:30" x14ac:dyDescent="0.25">
      <c r="A5" s="1">
        <v>4</v>
      </c>
      <c r="B5" s="1">
        <v>39</v>
      </c>
      <c r="C5" s="1" t="str">
        <f t="shared" si="0"/>
        <v>36-45 ans</v>
      </c>
      <c r="D5" s="1">
        <v>2</v>
      </c>
      <c r="E5" s="1">
        <v>3</v>
      </c>
      <c r="F5" s="1">
        <v>1</v>
      </c>
      <c r="G5" s="1">
        <v>2</v>
      </c>
      <c r="H5" s="1">
        <v>1</v>
      </c>
      <c r="I5" s="1">
        <v>2</v>
      </c>
      <c r="J5" s="1">
        <v>1</v>
      </c>
      <c r="K5" s="1">
        <v>30000</v>
      </c>
      <c r="L5" s="1">
        <v>3</v>
      </c>
      <c r="M5" s="1">
        <v>0</v>
      </c>
      <c r="O5" s="1">
        <v>1</v>
      </c>
      <c r="P5" s="1">
        <v>3</v>
      </c>
      <c r="Q5" s="1">
        <v>0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0</v>
      </c>
      <c r="Y5" s="1">
        <v>3</v>
      </c>
      <c r="Z5" s="1">
        <v>1</v>
      </c>
      <c r="AA5" s="1">
        <v>0</v>
      </c>
      <c r="AB5">
        <v>1</v>
      </c>
      <c r="AC5">
        <f t="shared" si="1"/>
        <v>0</v>
      </c>
      <c r="AD5">
        <v>0</v>
      </c>
    </row>
    <row r="6" spans="1:30" x14ac:dyDescent="0.25">
      <c r="A6" s="1">
        <v>5</v>
      </c>
      <c r="B6" s="1">
        <v>27</v>
      </c>
      <c r="C6" s="1" t="str">
        <f t="shared" si="0"/>
        <v>26-35 ans</v>
      </c>
      <c r="D6" s="1">
        <v>3</v>
      </c>
      <c r="E6" s="1">
        <v>1</v>
      </c>
      <c r="F6" s="1">
        <v>2</v>
      </c>
      <c r="G6" s="1">
        <v>1</v>
      </c>
      <c r="H6" s="1">
        <v>2</v>
      </c>
      <c r="I6" s="1">
        <v>2</v>
      </c>
      <c r="J6" s="1">
        <v>1</v>
      </c>
      <c r="K6" s="1">
        <v>100000</v>
      </c>
      <c r="L6" s="1">
        <v>2</v>
      </c>
      <c r="M6" s="1">
        <v>1</v>
      </c>
      <c r="N6" t="s">
        <v>84</v>
      </c>
      <c r="O6" s="1">
        <v>1</v>
      </c>
      <c r="P6" s="1">
        <v>2</v>
      </c>
      <c r="Q6" s="1">
        <v>0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0</v>
      </c>
      <c r="Y6" s="1">
        <v>1</v>
      </c>
      <c r="Z6" s="1">
        <v>1</v>
      </c>
      <c r="AA6" s="1">
        <v>0</v>
      </c>
      <c r="AB6">
        <v>1</v>
      </c>
      <c r="AC6">
        <f t="shared" si="1"/>
        <v>0</v>
      </c>
      <c r="AD6">
        <v>0</v>
      </c>
    </row>
    <row r="7" spans="1:30" hidden="1" x14ac:dyDescent="0.25">
      <c r="A7" s="1">
        <v>6</v>
      </c>
      <c r="B7" s="1">
        <v>23</v>
      </c>
      <c r="C7" s="1" t="str">
        <f t="shared" si="0"/>
        <v>18-25 ans</v>
      </c>
      <c r="D7" s="1">
        <v>2</v>
      </c>
      <c r="E7" s="1">
        <v>2</v>
      </c>
      <c r="F7" s="1">
        <v>2</v>
      </c>
      <c r="G7" s="1">
        <v>2</v>
      </c>
      <c r="H7" s="1">
        <v>1</v>
      </c>
      <c r="I7" s="1">
        <v>1</v>
      </c>
      <c r="J7" s="1">
        <v>2</v>
      </c>
      <c r="K7" s="1">
        <v>20000</v>
      </c>
      <c r="L7" s="1">
        <v>3</v>
      </c>
      <c r="M7" s="1">
        <v>0</v>
      </c>
      <c r="O7" s="1">
        <v>0</v>
      </c>
      <c r="P7" s="1">
        <v>2</v>
      </c>
      <c r="Q7" s="1">
        <v>1</v>
      </c>
      <c r="R7" s="1">
        <v>2</v>
      </c>
      <c r="S7" s="1">
        <v>1</v>
      </c>
      <c r="T7" s="1">
        <v>0</v>
      </c>
      <c r="U7" s="1">
        <v>1</v>
      </c>
      <c r="V7" s="1">
        <v>1</v>
      </c>
      <c r="W7" s="1">
        <v>1</v>
      </c>
      <c r="X7" s="1">
        <v>1</v>
      </c>
      <c r="Y7" s="1">
        <v>4</v>
      </c>
      <c r="Z7" s="1">
        <v>1</v>
      </c>
      <c r="AA7" s="1">
        <v>0</v>
      </c>
      <c r="AB7">
        <v>0</v>
      </c>
      <c r="AC7">
        <f t="shared" si="1"/>
        <v>0</v>
      </c>
      <c r="AD7">
        <v>0</v>
      </c>
    </row>
    <row r="8" spans="1:30" x14ac:dyDescent="0.25">
      <c r="A8" s="1">
        <v>7</v>
      </c>
      <c r="B8" s="1">
        <v>38</v>
      </c>
      <c r="C8" s="1" t="str">
        <f t="shared" si="0"/>
        <v>36-45 ans</v>
      </c>
      <c r="D8" s="1">
        <v>2</v>
      </c>
      <c r="E8" s="1">
        <v>2</v>
      </c>
      <c r="F8" s="1">
        <v>1</v>
      </c>
      <c r="G8" s="1">
        <v>1</v>
      </c>
      <c r="H8" s="1">
        <v>3</v>
      </c>
      <c r="I8" s="1">
        <v>3</v>
      </c>
      <c r="J8" s="1">
        <v>1</v>
      </c>
      <c r="K8" s="1">
        <v>130000</v>
      </c>
      <c r="L8" s="1">
        <v>1</v>
      </c>
      <c r="M8" s="1">
        <v>1</v>
      </c>
      <c r="N8" t="s">
        <v>83</v>
      </c>
      <c r="O8" s="1">
        <v>0</v>
      </c>
      <c r="P8" s="1">
        <v>1</v>
      </c>
      <c r="Q8" s="1">
        <v>0</v>
      </c>
      <c r="R8" s="1">
        <v>1</v>
      </c>
      <c r="S8" s="1">
        <v>0</v>
      </c>
      <c r="T8" s="1">
        <v>1</v>
      </c>
      <c r="U8" s="1">
        <v>1</v>
      </c>
      <c r="V8" s="1">
        <v>0</v>
      </c>
      <c r="W8" s="1">
        <v>1</v>
      </c>
      <c r="X8" s="1">
        <v>0</v>
      </c>
      <c r="Y8" s="1">
        <v>3</v>
      </c>
      <c r="Z8" s="1">
        <v>0</v>
      </c>
      <c r="AA8" s="1">
        <v>0</v>
      </c>
      <c r="AB8">
        <v>1</v>
      </c>
      <c r="AC8">
        <f t="shared" si="1"/>
        <v>1</v>
      </c>
      <c r="AD8">
        <v>0</v>
      </c>
    </row>
    <row r="9" spans="1:30" x14ac:dyDescent="0.25">
      <c r="A9" s="1">
        <v>8</v>
      </c>
      <c r="B9" s="1">
        <v>20</v>
      </c>
      <c r="C9" s="1" t="str">
        <f t="shared" si="0"/>
        <v>18-25 ans</v>
      </c>
      <c r="D9" s="1">
        <v>1</v>
      </c>
      <c r="E9" s="1">
        <v>1</v>
      </c>
      <c r="F9" s="1">
        <v>1</v>
      </c>
      <c r="G9" s="1">
        <v>2</v>
      </c>
      <c r="H9" s="1">
        <v>1</v>
      </c>
      <c r="I9" s="1">
        <v>3</v>
      </c>
      <c r="J9" s="1">
        <v>3</v>
      </c>
      <c r="K9" s="1">
        <v>50000</v>
      </c>
      <c r="L9" s="1">
        <v>2</v>
      </c>
      <c r="M9" s="1">
        <v>1</v>
      </c>
      <c r="N9" t="s">
        <v>84</v>
      </c>
      <c r="O9" s="1">
        <v>0</v>
      </c>
      <c r="P9" s="1">
        <v>2</v>
      </c>
      <c r="Q9" s="1">
        <v>1</v>
      </c>
      <c r="R9" s="1">
        <v>2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4</v>
      </c>
      <c r="Z9" s="1">
        <v>0</v>
      </c>
      <c r="AA9" s="1">
        <v>0</v>
      </c>
      <c r="AB9">
        <v>1</v>
      </c>
      <c r="AC9">
        <f t="shared" si="1"/>
        <v>1</v>
      </c>
      <c r="AD9">
        <v>0</v>
      </c>
    </row>
    <row r="10" spans="1:30" x14ac:dyDescent="0.25">
      <c r="A10" s="1">
        <v>9</v>
      </c>
      <c r="B10" s="1">
        <v>29</v>
      </c>
      <c r="C10" s="1" t="str">
        <f t="shared" si="0"/>
        <v>26-35 ans</v>
      </c>
      <c r="D10" s="1">
        <v>3</v>
      </c>
      <c r="E10" s="1">
        <v>1</v>
      </c>
      <c r="F10" s="1">
        <v>2</v>
      </c>
      <c r="G10" s="1">
        <v>1</v>
      </c>
      <c r="H10" s="1">
        <v>3</v>
      </c>
      <c r="I10" s="1">
        <v>2</v>
      </c>
      <c r="J10" s="1">
        <v>2</v>
      </c>
      <c r="K10" s="1">
        <v>100000</v>
      </c>
      <c r="L10" s="1">
        <v>2</v>
      </c>
      <c r="M10" s="1">
        <v>0</v>
      </c>
      <c r="O10" s="1">
        <v>1</v>
      </c>
      <c r="P10" s="1">
        <v>1</v>
      </c>
      <c r="Q10" s="1">
        <v>0</v>
      </c>
      <c r="R10" s="1">
        <v>1</v>
      </c>
      <c r="S10" s="1">
        <v>1</v>
      </c>
      <c r="T10" s="1">
        <v>1</v>
      </c>
      <c r="U10" s="1">
        <v>1</v>
      </c>
      <c r="V10" s="1">
        <v>0</v>
      </c>
      <c r="W10" s="1">
        <v>1</v>
      </c>
      <c r="X10" s="1">
        <v>1</v>
      </c>
      <c r="Y10" s="1">
        <v>4</v>
      </c>
      <c r="Z10" s="1">
        <v>0</v>
      </c>
      <c r="AA10" s="1">
        <v>0</v>
      </c>
      <c r="AB10">
        <v>1</v>
      </c>
      <c r="AC10">
        <f t="shared" si="1"/>
        <v>1</v>
      </c>
      <c r="AD10">
        <v>0</v>
      </c>
    </row>
    <row r="11" spans="1:30" hidden="1" x14ac:dyDescent="0.25">
      <c r="A11" s="1">
        <v>10</v>
      </c>
      <c r="B11" s="1">
        <v>34</v>
      </c>
      <c r="C11" s="1" t="str">
        <f t="shared" si="0"/>
        <v>26-35 ans</v>
      </c>
      <c r="D11" s="1">
        <v>1</v>
      </c>
      <c r="E11" s="1">
        <v>1</v>
      </c>
      <c r="F11" s="1">
        <v>2</v>
      </c>
      <c r="G11" s="1">
        <v>2</v>
      </c>
      <c r="H11" s="1">
        <v>1</v>
      </c>
      <c r="I11" s="1">
        <v>3</v>
      </c>
      <c r="J11" s="1">
        <v>3</v>
      </c>
      <c r="K11" s="1">
        <v>40000</v>
      </c>
      <c r="L11" s="1">
        <v>2</v>
      </c>
      <c r="M11" s="1">
        <v>1</v>
      </c>
      <c r="N11" t="s">
        <v>84</v>
      </c>
      <c r="O11" s="1">
        <v>1</v>
      </c>
      <c r="P11" s="1">
        <v>2</v>
      </c>
      <c r="Q11" s="1">
        <v>1</v>
      </c>
      <c r="R11" s="1">
        <v>3</v>
      </c>
      <c r="S11" s="1">
        <v>0</v>
      </c>
      <c r="T11" s="1">
        <v>1</v>
      </c>
      <c r="U11" s="1">
        <v>1</v>
      </c>
      <c r="V11" s="1">
        <v>0</v>
      </c>
      <c r="W11" s="1">
        <v>1</v>
      </c>
      <c r="X11" s="1">
        <v>1</v>
      </c>
      <c r="Y11" s="1">
        <v>4</v>
      </c>
      <c r="Z11" s="1">
        <v>1</v>
      </c>
      <c r="AA11" s="1">
        <v>0</v>
      </c>
      <c r="AB11">
        <v>0</v>
      </c>
      <c r="AC11">
        <f t="shared" si="1"/>
        <v>0</v>
      </c>
      <c r="AD11">
        <v>0</v>
      </c>
    </row>
    <row r="12" spans="1:30" x14ac:dyDescent="0.25">
      <c r="A12" s="1">
        <v>11</v>
      </c>
      <c r="B12" s="1">
        <v>26</v>
      </c>
      <c r="C12" s="1" t="str">
        <f t="shared" si="0"/>
        <v>26-35 ans</v>
      </c>
      <c r="D12" s="1">
        <v>3</v>
      </c>
      <c r="E12" s="1">
        <v>2</v>
      </c>
      <c r="F12" s="1">
        <v>2</v>
      </c>
      <c r="G12" s="1">
        <v>1</v>
      </c>
      <c r="H12" s="1">
        <v>2</v>
      </c>
      <c r="I12" s="1">
        <v>2</v>
      </c>
      <c r="J12" s="1">
        <v>1</v>
      </c>
      <c r="K12" s="1">
        <v>120000</v>
      </c>
      <c r="L12" s="1">
        <v>1</v>
      </c>
      <c r="M12" s="1">
        <v>1</v>
      </c>
      <c r="N12" t="s">
        <v>81</v>
      </c>
      <c r="O12" s="1">
        <v>1</v>
      </c>
      <c r="P12" s="1">
        <v>2</v>
      </c>
      <c r="Q12" s="1">
        <v>0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0</v>
      </c>
      <c r="Y12" s="1">
        <v>1</v>
      </c>
      <c r="Z12" s="1">
        <v>1</v>
      </c>
      <c r="AA12" s="1">
        <v>0</v>
      </c>
      <c r="AB12">
        <v>1</v>
      </c>
      <c r="AC12">
        <f t="shared" si="1"/>
        <v>0</v>
      </c>
      <c r="AD12">
        <v>0</v>
      </c>
    </row>
    <row r="13" spans="1:30" x14ac:dyDescent="0.25">
      <c r="A13" s="1">
        <v>12</v>
      </c>
      <c r="B13" s="1">
        <v>22</v>
      </c>
      <c r="C13" s="1" t="str">
        <f t="shared" si="0"/>
        <v>18-25 ans</v>
      </c>
      <c r="D13" s="1">
        <v>2</v>
      </c>
      <c r="E13" s="1">
        <v>3</v>
      </c>
      <c r="F13" s="1">
        <v>3</v>
      </c>
      <c r="G13" s="1">
        <v>1</v>
      </c>
      <c r="H13" s="1">
        <v>3</v>
      </c>
      <c r="I13" s="1">
        <v>1</v>
      </c>
      <c r="J13" s="1">
        <v>5</v>
      </c>
      <c r="K13" s="1">
        <v>100000</v>
      </c>
      <c r="L13" s="1">
        <v>1</v>
      </c>
      <c r="M13" s="1">
        <v>1</v>
      </c>
      <c r="N13" t="s">
        <v>84</v>
      </c>
      <c r="O13" s="1">
        <v>1</v>
      </c>
      <c r="P13" s="1">
        <v>3</v>
      </c>
      <c r="Q13" s="1">
        <v>1</v>
      </c>
      <c r="R13" s="1">
        <v>2</v>
      </c>
      <c r="S13" s="1">
        <v>1</v>
      </c>
      <c r="T13" s="1">
        <v>1</v>
      </c>
      <c r="U13" s="1">
        <v>1</v>
      </c>
      <c r="V13" s="1">
        <v>0</v>
      </c>
      <c r="W13" s="1">
        <v>1</v>
      </c>
      <c r="X13" s="1">
        <v>1</v>
      </c>
      <c r="Y13" s="1">
        <v>4</v>
      </c>
      <c r="Z13" s="1">
        <v>1</v>
      </c>
      <c r="AA13" s="1">
        <v>0</v>
      </c>
      <c r="AB13">
        <v>1</v>
      </c>
      <c r="AC13">
        <f t="shared" si="1"/>
        <v>0</v>
      </c>
      <c r="AD13">
        <v>0</v>
      </c>
    </row>
    <row r="14" spans="1:30" x14ac:dyDescent="0.25">
      <c r="A14" s="1">
        <v>13</v>
      </c>
      <c r="B14" s="1">
        <v>24</v>
      </c>
      <c r="C14" s="1" t="str">
        <f t="shared" si="0"/>
        <v>18-25 ans</v>
      </c>
      <c r="D14" s="1">
        <v>1</v>
      </c>
      <c r="E14" s="1">
        <v>4</v>
      </c>
      <c r="F14" s="1">
        <v>2</v>
      </c>
      <c r="G14" s="1">
        <v>2</v>
      </c>
      <c r="H14" s="1">
        <v>3</v>
      </c>
      <c r="I14" s="1">
        <v>1</v>
      </c>
      <c r="J14" s="1">
        <v>2</v>
      </c>
      <c r="K14" s="1">
        <v>30000</v>
      </c>
      <c r="L14" s="1">
        <v>2</v>
      </c>
      <c r="M14" s="1">
        <v>1</v>
      </c>
      <c r="N14" t="s">
        <v>83</v>
      </c>
      <c r="O14" s="1">
        <v>0</v>
      </c>
      <c r="P14" s="1">
        <v>1</v>
      </c>
      <c r="Q14" s="1">
        <v>0</v>
      </c>
      <c r="R14" s="1">
        <v>1</v>
      </c>
      <c r="S14" s="1">
        <v>0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4</v>
      </c>
      <c r="Z14" s="1">
        <v>1</v>
      </c>
      <c r="AA14" s="1">
        <v>1</v>
      </c>
      <c r="AB14">
        <v>1</v>
      </c>
      <c r="AC14">
        <f t="shared" si="1"/>
        <v>0</v>
      </c>
      <c r="AD14">
        <v>0</v>
      </c>
    </row>
    <row r="15" spans="1:30" x14ac:dyDescent="0.25">
      <c r="A15" s="1">
        <v>14</v>
      </c>
      <c r="B15" s="1">
        <v>39</v>
      </c>
      <c r="C15" s="1" t="str">
        <f t="shared" si="0"/>
        <v>36-45 ans</v>
      </c>
      <c r="D15" s="1">
        <v>2</v>
      </c>
      <c r="E15" s="1">
        <v>3</v>
      </c>
      <c r="F15" s="1">
        <v>2</v>
      </c>
      <c r="G15" s="1">
        <v>2</v>
      </c>
      <c r="H15" s="1">
        <v>2</v>
      </c>
      <c r="I15" s="1">
        <v>3</v>
      </c>
      <c r="J15" s="1">
        <v>1</v>
      </c>
      <c r="K15" s="1">
        <v>50000</v>
      </c>
      <c r="L15" s="1">
        <v>1</v>
      </c>
      <c r="M15" s="1">
        <v>0</v>
      </c>
      <c r="O15" s="1">
        <v>1</v>
      </c>
      <c r="P15" s="1">
        <v>1</v>
      </c>
      <c r="Q15" s="1">
        <v>1</v>
      </c>
      <c r="R15" s="1">
        <v>2</v>
      </c>
      <c r="S15" s="1">
        <v>1</v>
      </c>
      <c r="T15" s="1">
        <v>0</v>
      </c>
      <c r="U15" s="1">
        <v>1</v>
      </c>
      <c r="V15" s="1">
        <v>1</v>
      </c>
      <c r="W15" s="1">
        <v>1</v>
      </c>
      <c r="X15" s="1">
        <v>1</v>
      </c>
      <c r="Y15" s="1">
        <v>4</v>
      </c>
      <c r="Z15" s="1">
        <v>1</v>
      </c>
      <c r="AA15" s="1">
        <v>0</v>
      </c>
      <c r="AB15">
        <v>1</v>
      </c>
      <c r="AC15">
        <f t="shared" si="1"/>
        <v>0</v>
      </c>
      <c r="AD15">
        <v>0</v>
      </c>
    </row>
    <row r="16" spans="1:30" hidden="1" x14ac:dyDescent="0.25">
      <c r="A16" s="1">
        <v>15</v>
      </c>
      <c r="B16" s="1">
        <v>35</v>
      </c>
      <c r="C16" s="1" t="str">
        <f t="shared" si="0"/>
        <v>26-35 ans</v>
      </c>
      <c r="D16" s="1">
        <v>1</v>
      </c>
      <c r="E16" s="1">
        <v>1</v>
      </c>
      <c r="F16" s="1">
        <v>3</v>
      </c>
      <c r="G16" s="1">
        <v>1</v>
      </c>
      <c r="H16" s="1">
        <v>3</v>
      </c>
      <c r="I16" s="1">
        <v>2</v>
      </c>
      <c r="J16" s="1">
        <v>3</v>
      </c>
      <c r="K16" s="1">
        <v>150000</v>
      </c>
      <c r="L16" s="1">
        <v>2</v>
      </c>
      <c r="M16" s="1">
        <v>1</v>
      </c>
      <c r="N16" t="s">
        <v>84</v>
      </c>
      <c r="O16" s="1">
        <v>1</v>
      </c>
      <c r="P16" s="1">
        <v>2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0</v>
      </c>
      <c r="Y16" s="1">
        <v>3</v>
      </c>
      <c r="Z16" s="1">
        <v>1</v>
      </c>
      <c r="AA16" s="1">
        <v>0</v>
      </c>
      <c r="AB16">
        <v>0</v>
      </c>
      <c r="AC16">
        <f t="shared" si="1"/>
        <v>0</v>
      </c>
      <c r="AD16">
        <v>0</v>
      </c>
    </row>
    <row r="17" spans="1:30" x14ac:dyDescent="0.25">
      <c r="A17" s="1">
        <v>16</v>
      </c>
      <c r="B17" s="1">
        <v>25</v>
      </c>
      <c r="C17" s="1" t="str">
        <f t="shared" si="0"/>
        <v>18-25 ans</v>
      </c>
      <c r="D17" s="1">
        <v>1</v>
      </c>
      <c r="E17" s="1">
        <v>1</v>
      </c>
      <c r="F17" s="1">
        <v>1</v>
      </c>
      <c r="G17" s="1">
        <v>2</v>
      </c>
      <c r="H17" s="1">
        <v>1</v>
      </c>
      <c r="I17" s="1">
        <v>4</v>
      </c>
      <c r="J17" s="1">
        <v>4</v>
      </c>
      <c r="K17" s="1">
        <v>30000</v>
      </c>
      <c r="L17" s="1">
        <v>2</v>
      </c>
      <c r="M17" s="1">
        <v>0</v>
      </c>
      <c r="O17" s="1">
        <v>1</v>
      </c>
      <c r="P17" s="1">
        <v>1</v>
      </c>
      <c r="Q17" s="1">
        <v>0</v>
      </c>
      <c r="R17" s="1">
        <v>2</v>
      </c>
      <c r="S17" s="1">
        <v>0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4</v>
      </c>
      <c r="Z17" s="1">
        <v>0</v>
      </c>
      <c r="AA17" s="1">
        <v>0</v>
      </c>
      <c r="AB17">
        <v>1</v>
      </c>
      <c r="AC17">
        <f t="shared" si="1"/>
        <v>1</v>
      </c>
      <c r="AD17">
        <v>1</v>
      </c>
    </row>
    <row r="18" spans="1:30" x14ac:dyDescent="0.25">
      <c r="A18" s="1">
        <v>17</v>
      </c>
      <c r="B18" s="1">
        <v>38</v>
      </c>
      <c r="C18" s="1" t="str">
        <f t="shared" si="0"/>
        <v>36-45 ans</v>
      </c>
      <c r="D18" s="1">
        <v>1</v>
      </c>
      <c r="E18" s="1">
        <v>2</v>
      </c>
      <c r="F18" s="1">
        <v>2</v>
      </c>
      <c r="G18" s="1">
        <v>1</v>
      </c>
      <c r="H18" s="1">
        <v>4</v>
      </c>
      <c r="I18" s="1">
        <v>3</v>
      </c>
      <c r="J18" s="1">
        <v>2</v>
      </c>
      <c r="K18" s="1">
        <v>100000</v>
      </c>
      <c r="L18" s="1">
        <v>3</v>
      </c>
      <c r="M18" s="1">
        <v>1</v>
      </c>
      <c r="N18" t="s">
        <v>84</v>
      </c>
      <c r="O18" s="1">
        <v>1</v>
      </c>
      <c r="P18" s="1">
        <v>2</v>
      </c>
      <c r="Q18" s="1">
        <v>1</v>
      </c>
      <c r="R18" s="1">
        <v>2</v>
      </c>
      <c r="S18" s="1">
        <v>0</v>
      </c>
      <c r="T18" s="1">
        <v>1</v>
      </c>
      <c r="U18" s="1">
        <v>1</v>
      </c>
      <c r="V18" s="1">
        <v>0</v>
      </c>
      <c r="W18" s="1">
        <v>1</v>
      </c>
      <c r="X18" s="1">
        <v>1</v>
      </c>
      <c r="Y18" s="1">
        <v>4</v>
      </c>
      <c r="Z18" s="1">
        <v>0</v>
      </c>
      <c r="AA18" s="1">
        <v>0</v>
      </c>
      <c r="AB18">
        <v>1</v>
      </c>
      <c r="AC18">
        <f t="shared" si="1"/>
        <v>1</v>
      </c>
      <c r="AD18">
        <v>1</v>
      </c>
    </row>
    <row r="19" spans="1:30" hidden="1" x14ac:dyDescent="0.25">
      <c r="A19" s="1">
        <v>18</v>
      </c>
      <c r="B19" s="1">
        <v>31</v>
      </c>
      <c r="C19" s="1" t="str">
        <f t="shared" si="0"/>
        <v>26-35 ans</v>
      </c>
      <c r="D19" s="1">
        <v>2</v>
      </c>
      <c r="E19" s="1">
        <v>2</v>
      </c>
      <c r="F19" s="1">
        <v>2</v>
      </c>
      <c r="G19" s="1">
        <v>2</v>
      </c>
      <c r="H19" s="1">
        <v>3</v>
      </c>
      <c r="I19" s="1">
        <v>2</v>
      </c>
      <c r="J19" s="1">
        <v>3</v>
      </c>
      <c r="K19" s="1">
        <v>40000</v>
      </c>
      <c r="L19" s="1">
        <v>1</v>
      </c>
      <c r="M19" s="1">
        <v>1</v>
      </c>
      <c r="N19" t="s">
        <v>82</v>
      </c>
      <c r="O19" s="1">
        <v>1</v>
      </c>
      <c r="P19" s="1">
        <v>3</v>
      </c>
      <c r="Q19" s="1">
        <v>0</v>
      </c>
      <c r="R19" s="1">
        <v>1</v>
      </c>
      <c r="S19" s="1">
        <v>1</v>
      </c>
      <c r="T19" s="1">
        <v>1</v>
      </c>
      <c r="U19" s="1">
        <v>1</v>
      </c>
      <c r="V19" s="1">
        <v>0</v>
      </c>
      <c r="W19" s="1">
        <v>1</v>
      </c>
      <c r="X19" s="1">
        <v>1</v>
      </c>
      <c r="Y19" s="1">
        <v>4</v>
      </c>
      <c r="Z19" s="1">
        <v>1</v>
      </c>
      <c r="AA19" s="1">
        <v>0</v>
      </c>
      <c r="AB19">
        <v>0</v>
      </c>
      <c r="AC19">
        <f t="shared" si="1"/>
        <v>0</v>
      </c>
      <c r="AD19">
        <v>0</v>
      </c>
    </row>
    <row r="20" spans="1:30" x14ac:dyDescent="0.25">
      <c r="A20" s="1">
        <v>19</v>
      </c>
      <c r="B20" s="1">
        <v>43</v>
      </c>
      <c r="C20" s="1" t="str">
        <f t="shared" si="0"/>
        <v>36-45 ans</v>
      </c>
      <c r="D20" s="1">
        <v>1</v>
      </c>
      <c r="E20" s="1">
        <v>1</v>
      </c>
      <c r="F20" s="1">
        <v>2</v>
      </c>
      <c r="G20" s="1">
        <v>1</v>
      </c>
      <c r="H20" s="1">
        <v>1</v>
      </c>
      <c r="I20" s="1">
        <v>3</v>
      </c>
      <c r="J20" s="1">
        <v>2</v>
      </c>
      <c r="K20" s="1">
        <v>120000</v>
      </c>
      <c r="L20" s="1">
        <v>1</v>
      </c>
      <c r="M20" s="1">
        <v>1</v>
      </c>
      <c r="N20" t="s">
        <v>81</v>
      </c>
      <c r="O20" s="1">
        <v>1</v>
      </c>
      <c r="P20" s="1">
        <v>1</v>
      </c>
      <c r="Q20" s="1">
        <v>1</v>
      </c>
      <c r="R20" s="1">
        <v>2</v>
      </c>
      <c r="S20" s="1">
        <v>1</v>
      </c>
      <c r="T20" s="1">
        <v>1</v>
      </c>
      <c r="U20" s="1">
        <v>1</v>
      </c>
      <c r="V20" s="1">
        <v>0</v>
      </c>
      <c r="W20" s="1">
        <v>1</v>
      </c>
      <c r="X20" s="1">
        <v>1</v>
      </c>
      <c r="Y20" s="1">
        <v>4</v>
      </c>
      <c r="Z20" s="1">
        <v>1</v>
      </c>
      <c r="AA20" s="1">
        <v>0</v>
      </c>
      <c r="AB20">
        <v>1</v>
      </c>
      <c r="AC20">
        <f t="shared" si="1"/>
        <v>0</v>
      </c>
      <c r="AD20">
        <v>0</v>
      </c>
    </row>
    <row r="21" spans="1:30" x14ac:dyDescent="0.25">
      <c r="A21" s="1">
        <v>20</v>
      </c>
      <c r="B21" s="1">
        <v>28</v>
      </c>
      <c r="C21" s="1" t="str">
        <f t="shared" si="0"/>
        <v>26-35 ans</v>
      </c>
      <c r="D21" s="1">
        <v>3</v>
      </c>
      <c r="E21" s="1">
        <v>1</v>
      </c>
      <c r="F21" s="1">
        <v>3</v>
      </c>
      <c r="G21" s="1">
        <v>2</v>
      </c>
      <c r="H21" s="1">
        <v>3</v>
      </c>
      <c r="I21" s="1">
        <v>1</v>
      </c>
      <c r="J21" s="1">
        <v>4</v>
      </c>
      <c r="K21" s="1">
        <v>30000</v>
      </c>
      <c r="L21" s="1">
        <v>1</v>
      </c>
      <c r="M21" s="1">
        <v>1</v>
      </c>
      <c r="N21" t="s">
        <v>84</v>
      </c>
      <c r="O21" s="1">
        <v>1</v>
      </c>
      <c r="P21" s="1">
        <v>3</v>
      </c>
      <c r="Q21" s="1">
        <v>0</v>
      </c>
      <c r="R21" s="1">
        <v>1</v>
      </c>
      <c r="S21" s="1">
        <v>0</v>
      </c>
      <c r="T21" s="1">
        <v>0</v>
      </c>
      <c r="U21" s="1">
        <v>1</v>
      </c>
      <c r="V21" s="1">
        <v>1</v>
      </c>
      <c r="W21" s="1">
        <v>1</v>
      </c>
      <c r="X21" s="1">
        <v>0</v>
      </c>
      <c r="Y21" s="1">
        <v>3</v>
      </c>
      <c r="Z21" s="1">
        <v>0</v>
      </c>
      <c r="AA21" s="1">
        <v>1</v>
      </c>
      <c r="AB21">
        <v>1</v>
      </c>
      <c r="AC21">
        <f t="shared" si="1"/>
        <v>1</v>
      </c>
      <c r="AD21">
        <v>1</v>
      </c>
    </row>
    <row r="22" spans="1:30" x14ac:dyDescent="0.25">
      <c r="A22" s="1">
        <v>21</v>
      </c>
      <c r="B22" s="1">
        <v>36</v>
      </c>
      <c r="C22" s="1" t="str">
        <f t="shared" si="0"/>
        <v>36-45 ans</v>
      </c>
      <c r="D22" s="1">
        <v>2</v>
      </c>
      <c r="E22" s="1">
        <v>1</v>
      </c>
      <c r="F22" s="1">
        <v>1</v>
      </c>
      <c r="G22" s="1">
        <v>2</v>
      </c>
      <c r="H22" s="1">
        <v>3</v>
      </c>
      <c r="I22" s="1">
        <v>2</v>
      </c>
      <c r="J22" s="1">
        <v>5</v>
      </c>
      <c r="K22" s="1">
        <v>40000</v>
      </c>
      <c r="L22" s="1">
        <v>2</v>
      </c>
      <c r="M22" s="1">
        <v>0</v>
      </c>
      <c r="O22" s="1">
        <v>1</v>
      </c>
      <c r="P22" s="1">
        <v>2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0</v>
      </c>
      <c r="W22" s="1">
        <v>1</v>
      </c>
      <c r="X22" s="1">
        <v>0</v>
      </c>
      <c r="Y22" s="1">
        <v>3</v>
      </c>
      <c r="Z22" s="1">
        <v>1</v>
      </c>
      <c r="AA22" s="1">
        <v>0</v>
      </c>
      <c r="AB22">
        <v>1</v>
      </c>
      <c r="AC22">
        <f t="shared" si="1"/>
        <v>0</v>
      </c>
      <c r="AD22">
        <v>0</v>
      </c>
    </row>
    <row r="23" spans="1:30" x14ac:dyDescent="0.25">
      <c r="A23" s="1">
        <v>22</v>
      </c>
      <c r="B23" s="1">
        <v>47</v>
      </c>
      <c r="C23" s="1" t="str">
        <f t="shared" si="0"/>
        <v>46 ans et +</v>
      </c>
      <c r="D23" s="1">
        <v>1</v>
      </c>
      <c r="E23" s="1">
        <v>2</v>
      </c>
      <c r="F23" s="1">
        <v>3</v>
      </c>
      <c r="G23" s="1">
        <v>2</v>
      </c>
      <c r="H23" s="1">
        <v>2</v>
      </c>
      <c r="I23" s="1">
        <v>2</v>
      </c>
      <c r="J23" s="1">
        <v>1</v>
      </c>
      <c r="K23" s="1">
        <v>50000</v>
      </c>
      <c r="L23" s="1">
        <v>1</v>
      </c>
      <c r="M23" s="1">
        <v>0</v>
      </c>
      <c r="O23" s="1">
        <v>1</v>
      </c>
      <c r="P23" s="1">
        <v>2</v>
      </c>
      <c r="Q23" s="1">
        <v>0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0</v>
      </c>
      <c r="Y23" s="1">
        <v>2</v>
      </c>
      <c r="Z23" s="1">
        <v>0</v>
      </c>
      <c r="AA23" s="1">
        <v>0</v>
      </c>
      <c r="AB23">
        <v>1</v>
      </c>
      <c r="AC23">
        <f t="shared" si="1"/>
        <v>1</v>
      </c>
      <c r="AD23">
        <v>1</v>
      </c>
    </row>
    <row r="24" spans="1:30" hidden="1" x14ac:dyDescent="0.25">
      <c r="A24" s="1">
        <v>23</v>
      </c>
      <c r="B24" s="1">
        <v>21</v>
      </c>
      <c r="C24" s="1" t="str">
        <f t="shared" si="0"/>
        <v>18-25 ans</v>
      </c>
      <c r="D24" s="1">
        <v>1</v>
      </c>
      <c r="E24" s="1">
        <v>2</v>
      </c>
      <c r="F24" s="1">
        <v>2</v>
      </c>
      <c r="G24" s="1">
        <v>1</v>
      </c>
      <c r="H24" s="1">
        <v>2</v>
      </c>
      <c r="I24" s="1">
        <v>1</v>
      </c>
      <c r="J24" s="1">
        <v>3</v>
      </c>
      <c r="K24" s="1">
        <v>100000</v>
      </c>
      <c r="L24" s="1">
        <v>2</v>
      </c>
      <c r="M24" s="1">
        <v>1</v>
      </c>
      <c r="N24" t="s">
        <v>84</v>
      </c>
      <c r="O24" s="1">
        <v>0</v>
      </c>
      <c r="P24" s="1">
        <v>1</v>
      </c>
      <c r="Q24" s="1">
        <v>1</v>
      </c>
      <c r="R24" s="1">
        <v>2</v>
      </c>
      <c r="S24" s="1">
        <v>0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4</v>
      </c>
      <c r="Z24" s="1">
        <v>0</v>
      </c>
      <c r="AA24" s="1">
        <v>0</v>
      </c>
      <c r="AB24">
        <v>0</v>
      </c>
      <c r="AC24">
        <f t="shared" si="1"/>
        <v>1</v>
      </c>
      <c r="AD24">
        <v>1</v>
      </c>
    </row>
    <row r="25" spans="1:30" x14ac:dyDescent="0.25">
      <c r="A25" s="1">
        <v>24</v>
      </c>
      <c r="B25" s="1">
        <v>40</v>
      </c>
      <c r="C25" s="1" t="str">
        <f t="shared" si="0"/>
        <v>36-45 ans</v>
      </c>
      <c r="D25" s="1">
        <v>2</v>
      </c>
      <c r="E25" s="1">
        <v>1</v>
      </c>
      <c r="F25" s="1">
        <v>2</v>
      </c>
      <c r="G25" s="1">
        <v>1</v>
      </c>
      <c r="H25" s="1">
        <v>1</v>
      </c>
      <c r="I25" s="1">
        <v>3</v>
      </c>
      <c r="J25" s="1">
        <v>2</v>
      </c>
      <c r="K25" s="1">
        <v>150000</v>
      </c>
      <c r="L25" s="1">
        <v>2</v>
      </c>
      <c r="M25" s="1">
        <v>1</v>
      </c>
      <c r="N25" t="s">
        <v>82</v>
      </c>
      <c r="O25" s="1">
        <v>1</v>
      </c>
      <c r="P25" s="1">
        <v>3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0</v>
      </c>
      <c r="X25" s="1">
        <v>0</v>
      </c>
      <c r="Y25" s="1">
        <v>1</v>
      </c>
      <c r="Z25" s="1">
        <v>1</v>
      </c>
      <c r="AA25" s="1">
        <v>0</v>
      </c>
      <c r="AB25">
        <v>1</v>
      </c>
      <c r="AC25">
        <f t="shared" si="1"/>
        <v>0</v>
      </c>
      <c r="AD25">
        <v>0</v>
      </c>
    </row>
    <row r="26" spans="1:30" x14ac:dyDescent="0.25">
      <c r="A26" s="1">
        <v>25</v>
      </c>
      <c r="B26" s="1">
        <v>37</v>
      </c>
      <c r="C26" s="1" t="str">
        <f t="shared" si="0"/>
        <v>36-45 ans</v>
      </c>
      <c r="D26" s="1">
        <v>1</v>
      </c>
      <c r="E26" s="1">
        <v>1</v>
      </c>
      <c r="F26" s="1">
        <v>2</v>
      </c>
      <c r="G26" s="1">
        <v>1</v>
      </c>
      <c r="H26" s="1">
        <v>2</v>
      </c>
      <c r="I26" s="1">
        <v>2</v>
      </c>
      <c r="J26" s="1">
        <v>3</v>
      </c>
      <c r="K26" s="1">
        <v>150000</v>
      </c>
      <c r="L26" s="1">
        <v>3</v>
      </c>
      <c r="M26" s="1">
        <v>1</v>
      </c>
      <c r="N26" t="s">
        <v>81</v>
      </c>
      <c r="O26" s="1">
        <v>1</v>
      </c>
      <c r="P26" s="1">
        <v>1</v>
      </c>
      <c r="Q26" s="1">
        <v>1</v>
      </c>
      <c r="R26" s="1">
        <v>1</v>
      </c>
      <c r="S26" s="1">
        <v>0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4</v>
      </c>
      <c r="Z26" s="1">
        <v>0</v>
      </c>
      <c r="AA26" s="1">
        <v>0</v>
      </c>
      <c r="AB26">
        <v>1</v>
      </c>
      <c r="AC26">
        <f t="shared" si="1"/>
        <v>1</v>
      </c>
      <c r="AD26">
        <v>1</v>
      </c>
    </row>
    <row r="27" spans="1:30" x14ac:dyDescent="0.25">
      <c r="A27" s="1">
        <v>26</v>
      </c>
      <c r="B27" s="1">
        <v>49</v>
      </c>
      <c r="C27" s="1" t="str">
        <f t="shared" si="0"/>
        <v>46 ans et +</v>
      </c>
      <c r="D27" s="1">
        <v>3</v>
      </c>
      <c r="E27" s="1">
        <v>2</v>
      </c>
      <c r="F27" s="1">
        <v>1</v>
      </c>
      <c r="G27" s="1">
        <v>2</v>
      </c>
      <c r="H27" s="1">
        <v>3</v>
      </c>
      <c r="I27" s="1">
        <v>2</v>
      </c>
      <c r="J27" s="1">
        <v>4</v>
      </c>
      <c r="K27" s="1">
        <v>30000</v>
      </c>
      <c r="L27" s="1">
        <v>1</v>
      </c>
      <c r="M27" s="1">
        <v>1</v>
      </c>
      <c r="N27" t="s">
        <v>84</v>
      </c>
      <c r="O27" s="1">
        <v>1</v>
      </c>
      <c r="P27" s="1">
        <v>2</v>
      </c>
      <c r="Q27" s="1">
        <v>1</v>
      </c>
      <c r="R27" s="1">
        <v>2</v>
      </c>
      <c r="S27" s="1">
        <v>0</v>
      </c>
      <c r="T27" s="1">
        <v>1</v>
      </c>
      <c r="U27" s="1">
        <v>1</v>
      </c>
      <c r="V27" s="1">
        <v>1</v>
      </c>
      <c r="W27" s="1">
        <v>1</v>
      </c>
      <c r="X27" s="1">
        <v>0</v>
      </c>
      <c r="Y27" s="1">
        <v>2</v>
      </c>
      <c r="Z27" s="1">
        <v>1</v>
      </c>
      <c r="AA27" s="1">
        <v>0</v>
      </c>
      <c r="AB27">
        <v>1</v>
      </c>
      <c r="AC27">
        <f t="shared" si="1"/>
        <v>0</v>
      </c>
      <c r="AD27">
        <v>0</v>
      </c>
    </row>
    <row r="28" spans="1:30" hidden="1" x14ac:dyDescent="0.25">
      <c r="A28" s="1">
        <v>27</v>
      </c>
      <c r="B28" s="1">
        <v>29</v>
      </c>
      <c r="C28" s="1" t="str">
        <f t="shared" si="0"/>
        <v>26-35 ans</v>
      </c>
      <c r="D28" s="1">
        <v>1</v>
      </c>
      <c r="E28" s="1">
        <v>1</v>
      </c>
      <c r="F28" s="1">
        <v>3</v>
      </c>
      <c r="G28" s="1">
        <v>1</v>
      </c>
      <c r="H28" s="1">
        <v>2</v>
      </c>
      <c r="I28" s="1">
        <v>1</v>
      </c>
      <c r="J28" s="1">
        <v>1</v>
      </c>
      <c r="K28" s="1">
        <v>100000</v>
      </c>
      <c r="L28" s="1">
        <v>1</v>
      </c>
      <c r="M28" s="1">
        <v>0</v>
      </c>
      <c r="O28" s="1">
        <v>1</v>
      </c>
      <c r="P28" s="1">
        <v>1</v>
      </c>
      <c r="Q28" s="1">
        <v>1</v>
      </c>
      <c r="R28" s="1">
        <v>2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4</v>
      </c>
      <c r="Z28" s="1">
        <v>0</v>
      </c>
      <c r="AA28" s="1">
        <v>0</v>
      </c>
      <c r="AB28">
        <v>0</v>
      </c>
      <c r="AC28">
        <f t="shared" si="1"/>
        <v>1</v>
      </c>
      <c r="AD28">
        <v>1</v>
      </c>
    </row>
    <row r="29" spans="1:30" x14ac:dyDescent="0.25">
      <c r="A29" s="1">
        <v>28</v>
      </c>
      <c r="B29" s="1">
        <v>35</v>
      </c>
      <c r="C29" s="1" t="str">
        <f t="shared" si="0"/>
        <v>26-35 ans</v>
      </c>
      <c r="D29" s="1">
        <v>3</v>
      </c>
      <c r="E29" s="1">
        <v>1</v>
      </c>
      <c r="F29" s="1">
        <v>1</v>
      </c>
      <c r="G29" s="1">
        <v>2</v>
      </c>
      <c r="H29" s="1">
        <v>3</v>
      </c>
      <c r="I29" s="1">
        <v>3</v>
      </c>
      <c r="J29" s="1">
        <v>2</v>
      </c>
      <c r="K29" s="1">
        <v>50000</v>
      </c>
      <c r="L29" s="1">
        <v>2</v>
      </c>
      <c r="M29" s="1">
        <v>0</v>
      </c>
      <c r="O29" s="1">
        <v>1</v>
      </c>
      <c r="P29" s="1">
        <v>3</v>
      </c>
      <c r="Q29" s="1">
        <v>0</v>
      </c>
      <c r="R29" s="1">
        <v>2</v>
      </c>
      <c r="S29" s="1">
        <v>1</v>
      </c>
      <c r="T29" s="1">
        <v>1</v>
      </c>
      <c r="U29" s="1">
        <v>1</v>
      </c>
      <c r="V29" s="1">
        <v>1</v>
      </c>
      <c r="W29" s="1">
        <v>0</v>
      </c>
      <c r="X29" s="1">
        <v>0</v>
      </c>
      <c r="Y29" s="1">
        <v>3</v>
      </c>
      <c r="Z29" s="1">
        <v>1</v>
      </c>
      <c r="AA29" s="1">
        <v>0</v>
      </c>
      <c r="AB29">
        <v>1</v>
      </c>
      <c r="AC29">
        <f t="shared" si="1"/>
        <v>0</v>
      </c>
      <c r="AD29">
        <v>0</v>
      </c>
    </row>
    <row r="30" spans="1:30" x14ac:dyDescent="0.25">
      <c r="A30" s="1">
        <v>29</v>
      </c>
      <c r="B30" s="1">
        <v>38</v>
      </c>
      <c r="C30" s="1" t="str">
        <f t="shared" si="0"/>
        <v>36-45 ans</v>
      </c>
      <c r="D30" s="1">
        <v>1</v>
      </c>
      <c r="E30" s="1">
        <v>2</v>
      </c>
      <c r="F30" s="1">
        <v>2</v>
      </c>
      <c r="G30" s="1">
        <v>1</v>
      </c>
      <c r="H30" s="1">
        <v>2</v>
      </c>
      <c r="I30" s="1">
        <v>3</v>
      </c>
      <c r="J30" s="1">
        <v>2</v>
      </c>
      <c r="K30" s="1">
        <v>120000</v>
      </c>
      <c r="L30" s="1">
        <v>1</v>
      </c>
      <c r="M30" s="1">
        <v>1</v>
      </c>
      <c r="N30" t="s">
        <v>85</v>
      </c>
      <c r="O30" s="1">
        <v>1</v>
      </c>
      <c r="P30" s="1">
        <v>1</v>
      </c>
      <c r="Q30" s="1">
        <v>1</v>
      </c>
      <c r="R30" s="1">
        <v>3</v>
      </c>
      <c r="S30" s="1">
        <v>0</v>
      </c>
      <c r="T30" s="1">
        <v>0</v>
      </c>
      <c r="U30" s="1">
        <v>1</v>
      </c>
      <c r="V30" s="1">
        <v>1</v>
      </c>
      <c r="W30" s="1">
        <v>1</v>
      </c>
      <c r="X30" s="1">
        <v>1</v>
      </c>
      <c r="Y30" s="1">
        <v>4</v>
      </c>
      <c r="Z30" s="1">
        <v>0</v>
      </c>
      <c r="AA30" s="1">
        <v>0</v>
      </c>
      <c r="AB30">
        <v>1</v>
      </c>
      <c r="AC30">
        <f t="shared" si="1"/>
        <v>1</v>
      </c>
      <c r="AD30">
        <v>1</v>
      </c>
    </row>
    <row r="31" spans="1:30" x14ac:dyDescent="0.25">
      <c r="A31" s="1">
        <v>30</v>
      </c>
      <c r="B31" s="1">
        <v>36</v>
      </c>
      <c r="C31" s="1" t="str">
        <f t="shared" si="0"/>
        <v>36-45 ans</v>
      </c>
      <c r="D31" s="1">
        <v>1</v>
      </c>
      <c r="E31" s="1">
        <v>2</v>
      </c>
      <c r="F31" s="1">
        <v>2</v>
      </c>
      <c r="G31" s="1">
        <v>1</v>
      </c>
      <c r="H31" s="1">
        <v>3</v>
      </c>
      <c r="I31" s="1">
        <v>2</v>
      </c>
      <c r="J31" s="1">
        <v>3</v>
      </c>
      <c r="K31" s="1">
        <v>100000</v>
      </c>
      <c r="L31" s="1">
        <v>2</v>
      </c>
      <c r="M31" s="1">
        <v>1</v>
      </c>
      <c r="N31" t="s">
        <v>84</v>
      </c>
      <c r="O31" s="1">
        <v>1</v>
      </c>
      <c r="P31" s="1">
        <v>2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4</v>
      </c>
      <c r="Z31" s="1">
        <v>1</v>
      </c>
      <c r="AA31" s="1">
        <v>0</v>
      </c>
      <c r="AB31">
        <v>1</v>
      </c>
      <c r="AC31">
        <f t="shared" si="1"/>
        <v>0</v>
      </c>
      <c r="AD31">
        <v>0</v>
      </c>
    </row>
    <row r="32" spans="1:30" x14ac:dyDescent="0.25">
      <c r="A32" s="1">
        <v>31</v>
      </c>
      <c r="B32" s="1">
        <v>26</v>
      </c>
      <c r="C32" s="1" t="str">
        <f t="shared" si="0"/>
        <v>26-35 ans</v>
      </c>
      <c r="D32" s="1">
        <v>2</v>
      </c>
      <c r="E32" s="1">
        <v>1</v>
      </c>
      <c r="F32" s="1">
        <v>1</v>
      </c>
      <c r="G32" s="1">
        <v>2</v>
      </c>
      <c r="H32" s="1">
        <v>1</v>
      </c>
      <c r="I32" s="1">
        <v>2</v>
      </c>
      <c r="J32" s="1">
        <v>4</v>
      </c>
      <c r="K32" s="1">
        <v>40000</v>
      </c>
      <c r="L32" s="1">
        <v>2</v>
      </c>
      <c r="M32" s="1">
        <v>1</v>
      </c>
      <c r="N32" t="s">
        <v>81</v>
      </c>
      <c r="O32" s="1">
        <v>1</v>
      </c>
      <c r="P32" s="1">
        <v>1</v>
      </c>
      <c r="Q32" s="1">
        <v>0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4</v>
      </c>
      <c r="Z32" s="1">
        <v>1</v>
      </c>
      <c r="AA32" s="1">
        <v>0</v>
      </c>
      <c r="AB32">
        <v>1</v>
      </c>
      <c r="AC32">
        <f t="shared" si="1"/>
        <v>0</v>
      </c>
      <c r="AD32">
        <v>0</v>
      </c>
    </row>
    <row r="33" spans="1:30" x14ac:dyDescent="0.25">
      <c r="A33" s="1">
        <v>32</v>
      </c>
      <c r="B33" s="1">
        <v>30</v>
      </c>
      <c r="C33" s="1" t="str">
        <f t="shared" si="0"/>
        <v>26-35 ans</v>
      </c>
      <c r="D33" s="1">
        <v>3</v>
      </c>
      <c r="E33" s="1">
        <v>1</v>
      </c>
      <c r="F33" s="1">
        <v>2</v>
      </c>
      <c r="G33" s="1">
        <v>2</v>
      </c>
      <c r="H33" s="1">
        <v>3</v>
      </c>
      <c r="I33" s="1">
        <v>2</v>
      </c>
      <c r="J33" s="1">
        <v>3</v>
      </c>
      <c r="K33" s="1">
        <v>50000</v>
      </c>
      <c r="L33" s="1">
        <v>1</v>
      </c>
      <c r="M33" s="1">
        <v>1</v>
      </c>
      <c r="N33" t="s">
        <v>84</v>
      </c>
      <c r="O33" s="1">
        <v>0</v>
      </c>
      <c r="P33" s="1">
        <v>2</v>
      </c>
      <c r="Q33" s="1">
        <v>1</v>
      </c>
      <c r="R33" s="1">
        <v>2</v>
      </c>
      <c r="S33" s="1">
        <v>0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4</v>
      </c>
      <c r="Z33" s="1">
        <v>1</v>
      </c>
      <c r="AA33" s="1">
        <v>0</v>
      </c>
      <c r="AB33">
        <v>1</v>
      </c>
      <c r="AC33">
        <f t="shared" si="1"/>
        <v>0</v>
      </c>
      <c r="AD33">
        <v>0</v>
      </c>
    </row>
    <row r="34" spans="1:30" hidden="1" x14ac:dyDescent="0.25">
      <c r="A34" s="1">
        <v>33</v>
      </c>
      <c r="B34" s="1">
        <v>27</v>
      </c>
      <c r="C34" s="1" t="str">
        <f t="shared" si="0"/>
        <v>26-35 ans</v>
      </c>
      <c r="D34" s="1">
        <v>1</v>
      </c>
      <c r="E34" s="1">
        <v>2</v>
      </c>
      <c r="F34" s="1">
        <v>2</v>
      </c>
      <c r="G34" s="1">
        <v>1</v>
      </c>
      <c r="H34" s="1">
        <v>2</v>
      </c>
      <c r="I34" s="1">
        <v>2</v>
      </c>
      <c r="J34" s="1">
        <v>5</v>
      </c>
      <c r="K34" s="1">
        <v>100000</v>
      </c>
      <c r="L34" s="1">
        <v>3</v>
      </c>
      <c r="M34" s="1">
        <v>1</v>
      </c>
      <c r="N34" t="s">
        <v>84</v>
      </c>
      <c r="O34" s="1">
        <v>1</v>
      </c>
      <c r="P34" s="1">
        <v>3</v>
      </c>
      <c r="Q34" s="1">
        <v>1</v>
      </c>
      <c r="R34" s="1">
        <v>2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4</v>
      </c>
      <c r="Z34" s="1">
        <v>1</v>
      </c>
      <c r="AA34" s="1">
        <v>0</v>
      </c>
      <c r="AB34">
        <v>0</v>
      </c>
      <c r="AC34">
        <f t="shared" si="1"/>
        <v>0</v>
      </c>
      <c r="AD34">
        <v>0</v>
      </c>
    </row>
    <row r="35" spans="1:30" x14ac:dyDescent="0.25">
      <c r="A35" s="1">
        <v>34</v>
      </c>
      <c r="B35" s="1">
        <v>45</v>
      </c>
      <c r="C35" s="1" t="str">
        <f t="shared" si="0"/>
        <v>36-45 ans</v>
      </c>
      <c r="D35" s="1">
        <v>1</v>
      </c>
      <c r="E35" s="1">
        <v>1</v>
      </c>
      <c r="F35" s="1">
        <v>3</v>
      </c>
      <c r="G35" s="1">
        <v>1</v>
      </c>
      <c r="H35" s="1">
        <v>3</v>
      </c>
      <c r="I35" s="1">
        <v>1</v>
      </c>
      <c r="J35" s="1">
        <v>2</v>
      </c>
      <c r="K35" s="1">
        <v>150000</v>
      </c>
      <c r="L35" s="1">
        <v>1</v>
      </c>
      <c r="M35" s="1">
        <v>0</v>
      </c>
      <c r="O35" s="1">
        <v>1</v>
      </c>
      <c r="P35" s="1">
        <v>1</v>
      </c>
      <c r="Q35" s="1">
        <v>1</v>
      </c>
      <c r="R35" s="1">
        <v>3</v>
      </c>
      <c r="S35" s="1">
        <v>0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4</v>
      </c>
      <c r="Z35" s="1">
        <v>1</v>
      </c>
      <c r="AA35" s="1">
        <v>0</v>
      </c>
      <c r="AB35">
        <v>1</v>
      </c>
      <c r="AC35">
        <f t="shared" si="1"/>
        <v>0</v>
      </c>
      <c r="AD35">
        <v>0</v>
      </c>
    </row>
    <row r="36" spans="1:30" x14ac:dyDescent="0.25">
      <c r="A36" s="1">
        <v>35</v>
      </c>
      <c r="B36" s="1">
        <v>35</v>
      </c>
      <c r="C36" s="1" t="str">
        <f t="shared" si="0"/>
        <v>26-35 ans</v>
      </c>
      <c r="D36" s="1">
        <v>2</v>
      </c>
      <c r="E36" s="1">
        <v>1</v>
      </c>
      <c r="F36" s="1">
        <v>2</v>
      </c>
      <c r="G36" s="1">
        <v>2</v>
      </c>
      <c r="H36" s="1">
        <v>1</v>
      </c>
      <c r="I36" s="1">
        <v>1</v>
      </c>
      <c r="J36" s="1">
        <v>5</v>
      </c>
      <c r="K36" s="1">
        <v>20000</v>
      </c>
      <c r="L36" s="1">
        <v>2</v>
      </c>
      <c r="M36" s="1">
        <v>1</v>
      </c>
      <c r="N36" t="s">
        <v>84</v>
      </c>
      <c r="O36" s="1">
        <v>1</v>
      </c>
      <c r="P36" s="1">
        <v>2</v>
      </c>
      <c r="Q36" s="1">
        <v>1</v>
      </c>
      <c r="R36" s="1">
        <v>1</v>
      </c>
      <c r="S36" s="1">
        <v>1</v>
      </c>
      <c r="T36" s="1">
        <v>0</v>
      </c>
      <c r="U36" s="1">
        <v>1</v>
      </c>
      <c r="V36" s="1">
        <v>1</v>
      </c>
      <c r="W36" s="1">
        <v>1</v>
      </c>
      <c r="X36" s="1">
        <v>0</v>
      </c>
      <c r="Y36" s="1">
        <v>2</v>
      </c>
      <c r="Z36" s="1">
        <v>1</v>
      </c>
      <c r="AA36" s="1">
        <v>1</v>
      </c>
      <c r="AB36">
        <v>1</v>
      </c>
      <c r="AC36">
        <f t="shared" si="1"/>
        <v>0</v>
      </c>
      <c r="AD36">
        <v>0</v>
      </c>
    </row>
    <row r="37" spans="1:30" x14ac:dyDescent="0.25">
      <c r="A37" s="1">
        <v>36</v>
      </c>
      <c r="B37" s="1">
        <v>42</v>
      </c>
      <c r="C37" s="1" t="str">
        <f t="shared" si="0"/>
        <v>36-45 ans</v>
      </c>
      <c r="D37" s="1">
        <v>3</v>
      </c>
      <c r="E37" s="1">
        <v>2</v>
      </c>
      <c r="F37" s="1">
        <v>2</v>
      </c>
      <c r="G37" s="1">
        <v>1</v>
      </c>
      <c r="H37" s="1">
        <v>1</v>
      </c>
      <c r="I37" s="1">
        <v>2</v>
      </c>
      <c r="J37" s="1">
        <v>5</v>
      </c>
      <c r="K37" s="1">
        <v>130000</v>
      </c>
      <c r="L37" s="1">
        <v>1</v>
      </c>
      <c r="M37" s="1">
        <v>1</v>
      </c>
      <c r="N37" t="s">
        <v>81</v>
      </c>
      <c r="O37" s="1">
        <v>1</v>
      </c>
      <c r="P37" s="1">
        <v>3</v>
      </c>
      <c r="Q37" s="1">
        <v>0</v>
      </c>
      <c r="R37" s="1">
        <v>2</v>
      </c>
      <c r="S37" s="1">
        <v>0</v>
      </c>
      <c r="T37" s="1">
        <v>1</v>
      </c>
      <c r="U37" s="1">
        <v>1</v>
      </c>
      <c r="V37" s="1">
        <v>1</v>
      </c>
      <c r="W37" s="1">
        <v>1</v>
      </c>
      <c r="X37" s="1">
        <v>0</v>
      </c>
      <c r="Y37" s="1">
        <v>3</v>
      </c>
      <c r="Z37" s="1">
        <v>0</v>
      </c>
      <c r="AA37" s="1">
        <v>0</v>
      </c>
      <c r="AB37">
        <v>1</v>
      </c>
      <c r="AC37">
        <f t="shared" si="1"/>
        <v>1</v>
      </c>
      <c r="AD37">
        <v>0</v>
      </c>
    </row>
    <row r="38" spans="1:30" x14ac:dyDescent="0.25">
      <c r="A38" s="1">
        <v>37</v>
      </c>
      <c r="B38" s="1">
        <v>46</v>
      </c>
      <c r="C38" s="1" t="str">
        <f t="shared" si="0"/>
        <v>46 ans et +</v>
      </c>
      <c r="D38" s="1">
        <v>2</v>
      </c>
      <c r="E38" s="1">
        <v>2</v>
      </c>
      <c r="F38" s="1">
        <v>1</v>
      </c>
      <c r="G38" s="1">
        <v>2</v>
      </c>
      <c r="H38" s="1">
        <v>3</v>
      </c>
      <c r="I38" s="1">
        <v>2</v>
      </c>
      <c r="J38" s="1">
        <v>4</v>
      </c>
      <c r="K38" s="1">
        <v>30000</v>
      </c>
      <c r="L38" s="1">
        <v>2</v>
      </c>
      <c r="M38" s="1">
        <v>1</v>
      </c>
      <c r="N38" t="s">
        <v>83</v>
      </c>
      <c r="O38" s="1">
        <v>1</v>
      </c>
      <c r="P38" s="1">
        <v>3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4</v>
      </c>
      <c r="Z38" s="1">
        <v>0</v>
      </c>
      <c r="AA38" s="1">
        <v>0</v>
      </c>
      <c r="AB38">
        <v>1</v>
      </c>
      <c r="AC38">
        <f t="shared" si="1"/>
        <v>1</v>
      </c>
      <c r="AD38">
        <v>0</v>
      </c>
    </row>
    <row r="39" spans="1:30" hidden="1" x14ac:dyDescent="0.25">
      <c r="A39" s="1">
        <v>38</v>
      </c>
      <c r="B39" s="1">
        <v>37</v>
      </c>
      <c r="C39" s="1" t="str">
        <f t="shared" si="0"/>
        <v>36-45 ans</v>
      </c>
      <c r="D39" s="1">
        <v>1</v>
      </c>
      <c r="E39" s="1">
        <v>1</v>
      </c>
      <c r="F39" s="1">
        <v>2</v>
      </c>
      <c r="G39" s="1">
        <v>1</v>
      </c>
      <c r="H39" s="1">
        <v>2</v>
      </c>
      <c r="I39" s="1">
        <v>2</v>
      </c>
      <c r="J39" s="1">
        <v>3</v>
      </c>
      <c r="K39" s="1">
        <v>200000</v>
      </c>
      <c r="L39" s="1">
        <v>2</v>
      </c>
      <c r="M39" s="1">
        <v>0</v>
      </c>
      <c r="O39" s="1">
        <v>1</v>
      </c>
      <c r="P39" s="1">
        <v>2</v>
      </c>
      <c r="Q39" s="1">
        <v>1</v>
      </c>
      <c r="R39" s="1">
        <v>2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 s="1">
        <v>0</v>
      </c>
      <c r="Y39" s="1">
        <v>1</v>
      </c>
      <c r="Z39" s="1">
        <v>0</v>
      </c>
      <c r="AA39" s="1">
        <v>0</v>
      </c>
      <c r="AB39">
        <v>0</v>
      </c>
      <c r="AC39">
        <f t="shared" si="1"/>
        <v>1</v>
      </c>
      <c r="AD39">
        <v>0</v>
      </c>
    </row>
    <row r="40" spans="1:30" hidden="1" x14ac:dyDescent="0.25">
      <c r="A40" s="1">
        <v>39</v>
      </c>
      <c r="B40" s="1">
        <v>26</v>
      </c>
      <c r="C40" s="1" t="str">
        <f t="shared" si="0"/>
        <v>26-35 ans</v>
      </c>
      <c r="D40" s="1">
        <v>2</v>
      </c>
      <c r="E40" s="1">
        <v>1</v>
      </c>
      <c r="F40" s="1">
        <v>2</v>
      </c>
      <c r="G40" s="1">
        <v>1</v>
      </c>
      <c r="H40" s="1">
        <v>3</v>
      </c>
      <c r="I40" s="1">
        <v>1</v>
      </c>
      <c r="J40" s="1">
        <v>3</v>
      </c>
      <c r="K40" s="1">
        <v>250000</v>
      </c>
      <c r="L40" s="1">
        <v>2</v>
      </c>
      <c r="M40" s="1">
        <v>1</v>
      </c>
      <c r="N40" t="s">
        <v>84</v>
      </c>
      <c r="O40" s="1">
        <v>1</v>
      </c>
      <c r="P40" s="1">
        <v>1</v>
      </c>
      <c r="Q40" s="1">
        <v>1</v>
      </c>
      <c r="R40" s="1">
        <v>2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>
        <v>0</v>
      </c>
      <c r="Y40" s="1">
        <v>1</v>
      </c>
      <c r="Z40" s="1">
        <v>0</v>
      </c>
      <c r="AA40" s="1">
        <v>0</v>
      </c>
      <c r="AB40">
        <v>0</v>
      </c>
      <c r="AC40">
        <f t="shared" si="1"/>
        <v>1</v>
      </c>
      <c r="AD40">
        <v>0</v>
      </c>
    </row>
    <row r="41" spans="1:30" x14ac:dyDescent="0.25">
      <c r="A41" s="1">
        <v>40</v>
      </c>
      <c r="B41" s="1">
        <v>48</v>
      </c>
      <c r="C41" s="1" t="str">
        <f t="shared" si="0"/>
        <v>46 ans et +</v>
      </c>
      <c r="D41" s="1">
        <v>1</v>
      </c>
      <c r="E41" s="1">
        <v>2</v>
      </c>
      <c r="F41" s="1">
        <v>3</v>
      </c>
      <c r="G41" s="1">
        <v>1</v>
      </c>
      <c r="H41" s="1">
        <v>3</v>
      </c>
      <c r="I41" s="1">
        <v>3</v>
      </c>
      <c r="J41" s="1">
        <v>1</v>
      </c>
      <c r="K41" s="1">
        <v>190000</v>
      </c>
      <c r="L41" s="1">
        <v>2</v>
      </c>
      <c r="M41" s="1">
        <v>1</v>
      </c>
      <c r="N41" t="s">
        <v>84</v>
      </c>
      <c r="O41" s="1">
        <v>1</v>
      </c>
      <c r="P41" s="1">
        <v>1</v>
      </c>
      <c r="Q41" s="1">
        <v>0</v>
      </c>
      <c r="R41" s="1">
        <v>1</v>
      </c>
      <c r="S41" s="1">
        <v>0</v>
      </c>
      <c r="T41" s="1">
        <v>1</v>
      </c>
      <c r="U41" s="1">
        <v>1</v>
      </c>
      <c r="V41" s="1">
        <v>1</v>
      </c>
      <c r="W41" s="1">
        <v>1</v>
      </c>
      <c r="X41" s="1">
        <v>0</v>
      </c>
      <c r="Y41" s="1">
        <v>2</v>
      </c>
      <c r="Z41" s="1">
        <v>1</v>
      </c>
      <c r="AA41" s="1">
        <v>0</v>
      </c>
      <c r="AB41">
        <v>1</v>
      </c>
      <c r="AC41">
        <f t="shared" si="1"/>
        <v>0</v>
      </c>
      <c r="AD41">
        <v>0</v>
      </c>
    </row>
    <row r="42" spans="1:30" x14ac:dyDescent="0.25">
      <c r="A42" s="1">
        <v>41</v>
      </c>
      <c r="B42" s="1">
        <v>50</v>
      </c>
      <c r="C42" s="1" t="str">
        <f t="shared" si="0"/>
        <v>46 ans et +</v>
      </c>
      <c r="D42" s="1">
        <v>3</v>
      </c>
      <c r="E42" s="1">
        <v>1</v>
      </c>
      <c r="F42" s="1">
        <v>2</v>
      </c>
      <c r="G42" s="1">
        <v>2</v>
      </c>
      <c r="H42" s="1">
        <v>4</v>
      </c>
      <c r="I42" s="1">
        <v>3</v>
      </c>
      <c r="J42" s="1">
        <v>3</v>
      </c>
      <c r="K42" s="1">
        <v>40000</v>
      </c>
      <c r="L42" s="1">
        <v>1</v>
      </c>
      <c r="M42" s="1">
        <v>1</v>
      </c>
      <c r="N42" t="s">
        <v>81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0</v>
      </c>
      <c r="U42" s="1">
        <v>1</v>
      </c>
      <c r="V42" s="1">
        <v>0</v>
      </c>
      <c r="W42" s="1">
        <v>1</v>
      </c>
      <c r="X42" s="1">
        <v>0</v>
      </c>
      <c r="Y42" s="1">
        <v>3</v>
      </c>
      <c r="Z42" s="1">
        <v>1</v>
      </c>
      <c r="AA42" s="1">
        <v>0</v>
      </c>
      <c r="AB42">
        <v>1</v>
      </c>
      <c r="AC42">
        <f t="shared" si="1"/>
        <v>0</v>
      </c>
      <c r="AD42">
        <v>0</v>
      </c>
    </row>
    <row r="43" spans="1:30" x14ac:dyDescent="0.25">
      <c r="A43" s="1">
        <v>42</v>
      </c>
      <c r="B43" s="1">
        <v>32</v>
      </c>
      <c r="C43" s="1" t="str">
        <f t="shared" si="0"/>
        <v>26-35 ans</v>
      </c>
      <c r="D43" s="1">
        <v>2</v>
      </c>
      <c r="E43" s="1">
        <v>3</v>
      </c>
      <c r="F43" s="1">
        <v>2</v>
      </c>
      <c r="G43" s="1">
        <v>1</v>
      </c>
      <c r="H43" s="1">
        <v>2</v>
      </c>
      <c r="I43" s="1">
        <v>2</v>
      </c>
      <c r="J43" s="1">
        <v>4</v>
      </c>
      <c r="K43" s="1">
        <v>150000</v>
      </c>
      <c r="L43" s="1">
        <v>2</v>
      </c>
      <c r="M43" s="1">
        <v>0</v>
      </c>
      <c r="O43" s="1">
        <v>1</v>
      </c>
      <c r="P43" s="1">
        <v>3</v>
      </c>
      <c r="Q43" s="1">
        <v>0</v>
      </c>
      <c r="R43" s="1">
        <v>2</v>
      </c>
      <c r="S43" s="1">
        <v>1</v>
      </c>
      <c r="T43" s="1">
        <v>1</v>
      </c>
      <c r="U43" s="1">
        <v>1</v>
      </c>
      <c r="V43" s="1">
        <v>1</v>
      </c>
      <c r="W43" s="1">
        <v>1</v>
      </c>
      <c r="X43" s="1">
        <v>0</v>
      </c>
      <c r="Y43" s="1">
        <v>3</v>
      </c>
      <c r="Z43" s="1">
        <v>1</v>
      </c>
      <c r="AA43" s="1">
        <v>0</v>
      </c>
      <c r="AB43">
        <v>1</v>
      </c>
      <c r="AC43">
        <f t="shared" si="1"/>
        <v>0</v>
      </c>
      <c r="AD43">
        <v>0</v>
      </c>
    </row>
    <row r="44" spans="1:30" x14ac:dyDescent="0.25">
      <c r="A44" s="1">
        <v>43</v>
      </c>
      <c r="B44" s="1">
        <v>26</v>
      </c>
      <c r="C44" s="1" t="str">
        <f t="shared" si="0"/>
        <v>26-35 ans</v>
      </c>
      <c r="D44" s="1">
        <v>1</v>
      </c>
      <c r="E44" s="1">
        <v>3</v>
      </c>
      <c r="F44" s="1">
        <v>2</v>
      </c>
      <c r="G44" s="1">
        <v>2</v>
      </c>
      <c r="H44" s="1">
        <v>1</v>
      </c>
      <c r="I44" s="1">
        <v>1</v>
      </c>
      <c r="J44" s="1">
        <v>5</v>
      </c>
      <c r="K44" s="1">
        <v>50000</v>
      </c>
      <c r="L44" s="1">
        <v>1</v>
      </c>
      <c r="M44" s="1">
        <v>1</v>
      </c>
      <c r="N44" t="s">
        <v>81</v>
      </c>
      <c r="O44" s="1">
        <v>1</v>
      </c>
      <c r="P44" s="1">
        <v>2</v>
      </c>
      <c r="Q44" s="1">
        <v>1</v>
      </c>
      <c r="R44" s="1">
        <v>1</v>
      </c>
      <c r="S44" s="1">
        <v>1</v>
      </c>
      <c r="T44" s="1">
        <v>1</v>
      </c>
      <c r="U44" s="1">
        <v>0</v>
      </c>
      <c r="V44" s="1">
        <v>0</v>
      </c>
      <c r="W44" s="1">
        <v>1</v>
      </c>
      <c r="X44" s="1">
        <v>0</v>
      </c>
      <c r="Y44" s="1">
        <v>2</v>
      </c>
      <c r="Z44" s="1">
        <v>0</v>
      </c>
      <c r="AA44" s="1">
        <v>0</v>
      </c>
      <c r="AB44">
        <v>1</v>
      </c>
      <c r="AC44">
        <f t="shared" si="1"/>
        <v>1</v>
      </c>
      <c r="AD44">
        <v>0</v>
      </c>
    </row>
    <row r="45" spans="1:30" hidden="1" x14ac:dyDescent="0.25">
      <c r="A45" s="1">
        <v>44</v>
      </c>
      <c r="B45" s="1">
        <v>34</v>
      </c>
      <c r="C45" s="1" t="str">
        <f t="shared" si="0"/>
        <v>26-35 ans</v>
      </c>
      <c r="D45" s="1">
        <v>2</v>
      </c>
      <c r="E45" s="1">
        <v>4</v>
      </c>
      <c r="F45" s="1">
        <v>1</v>
      </c>
      <c r="G45" s="1">
        <v>2</v>
      </c>
      <c r="H45" s="1">
        <v>3</v>
      </c>
      <c r="I45" s="1">
        <v>2</v>
      </c>
      <c r="J45" s="1">
        <v>3</v>
      </c>
      <c r="K45" s="1">
        <v>30000</v>
      </c>
      <c r="L45" s="1">
        <v>3</v>
      </c>
      <c r="M45" s="1">
        <v>0</v>
      </c>
      <c r="O45" s="1">
        <v>1</v>
      </c>
      <c r="P45" s="1">
        <v>1</v>
      </c>
      <c r="Q45" s="1">
        <v>0</v>
      </c>
      <c r="R45" s="1">
        <v>2</v>
      </c>
      <c r="S45" s="1">
        <v>1</v>
      </c>
      <c r="T45" s="1">
        <v>0</v>
      </c>
      <c r="U45" s="1">
        <v>1</v>
      </c>
      <c r="V45" s="1">
        <v>1</v>
      </c>
      <c r="W45" s="1">
        <v>1</v>
      </c>
      <c r="X45" s="1">
        <v>1</v>
      </c>
      <c r="Y45" s="1">
        <v>4</v>
      </c>
      <c r="Z45" s="1">
        <v>1</v>
      </c>
      <c r="AA45" s="1">
        <v>0</v>
      </c>
      <c r="AB45">
        <v>0</v>
      </c>
      <c r="AC45">
        <f t="shared" si="1"/>
        <v>0</v>
      </c>
      <c r="AD45">
        <v>0</v>
      </c>
    </row>
    <row r="46" spans="1:30" x14ac:dyDescent="0.25">
      <c r="A46" s="1">
        <v>45</v>
      </c>
      <c r="B46" s="1">
        <v>24</v>
      </c>
      <c r="C46" s="1" t="str">
        <f t="shared" si="0"/>
        <v>18-25 ans</v>
      </c>
      <c r="D46" s="1">
        <v>2</v>
      </c>
      <c r="E46" s="1">
        <v>3</v>
      </c>
      <c r="F46" s="1">
        <v>2</v>
      </c>
      <c r="G46" s="1">
        <v>1</v>
      </c>
      <c r="H46" s="1">
        <v>3</v>
      </c>
      <c r="I46" s="1">
        <v>1</v>
      </c>
      <c r="J46" s="1">
        <v>2</v>
      </c>
      <c r="K46" s="1">
        <v>200000</v>
      </c>
      <c r="L46" s="1">
        <v>1</v>
      </c>
      <c r="M46" s="1">
        <v>1</v>
      </c>
      <c r="N46" t="s">
        <v>81</v>
      </c>
      <c r="O46" s="1">
        <v>0</v>
      </c>
      <c r="P46" s="1">
        <v>2</v>
      </c>
      <c r="Q46" s="1">
        <v>1</v>
      </c>
      <c r="R46" s="1">
        <v>1</v>
      </c>
      <c r="S46" s="1">
        <v>1</v>
      </c>
      <c r="T46" s="1">
        <v>0</v>
      </c>
      <c r="U46" s="1">
        <v>0</v>
      </c>
      <c r="V46" s="1">
        <v>0</v>
      </c>
      <c r="W46" s="1">
        <v>1</v>
      </c>
      <c r="X46" s="1">
        <v>1</v>
      </c>
      <c r="Y46" s="1">
        <v>4</v>
      </c>
      <c r="Z46" s="1">
        <v>1</v>
      </c>
      <c r="AA46" s="1">
        <v>0</v>
      </c>
      <c r="AB46">
        <v>1</v>
      </c>
      <c r="AC46">
        <f t="shared" si="1"/>
        <v>0</v>
      </c>
      <c r="AD46">
        <v>0</v>
      </c>
    </row>
    <row r="47" spans="1:30" x14ac:dyDescent="0.25">
      <c r="A47" s="1">
        <v>46</v>
      </c>
      <c r="B47" s="1">
        <v>39</v>
      </c>
      <c r="C47" s="1" t="str">
        <f t="shared" si="0"/>
        <v>36-45 ans</v>
      </c>
      <c r="D47" s="1">
        <v>1</v>
      </c>
      <c r="E47" s="1">
        <v>2</v>
      </c>
      <c r="F47" s="1">
        <v>2</v>
      </c>
      <c r="G47" s="1">
        <v>2</v>
      </c>
      <c r="H47" s="1">
        <v>2</v>
      </c>
      <c r="I47" s="1">
        <v>2</v>
      </c>
      <c r="J47" s="1">
        <v>1</v>
      </c>
      <c r="K47" s="1">
        <v>40000</v>
      </c>
      <c r="L47" s="1">
        <v>1</v>
      </c>
      <c r="M47" s="1">
        <v>1</v>
      </c>
      <c r="N47" t="s">
        <v>82</v>
      </c>
      <c r="O47" s="1">
        <v>1</v>
      </c>
      <c r="P47" s="1">
        <v>1</v>
      </c>
      <c r="Q47" s="1">
        <v>1</v>
      </c>
      <c r="R47" s="1">
        <v>2</v>
      </c>
      <c r="S47" s="1">
        <v>0</v>
      </c>
      <c r="T47" s="1">
        <v>1</v>
      </c>
      <c r="U47" s="1">
        <v>1</v>
      </c>
      <c r="V47" s="1">
        <v>0</v>
      </c>
      <c r="W47" s="1">
        <v>1</v>
      </c>
      <c r="X47" s="1">
        <v>1</v>
      </c>
      <c r="Y47" s="1">
        <v>4</v>
      </c>
      <c r="Z47" s="1">
        <v>0</v>
      </c>
      <c r="AA47" s="1">
        <v>0</v>
      </c>
      <c r="AB47">
        <v>1</v>
      </c>
      <c r="AC47">
        <f t="shared" si="1"/>
        <v>1</v>
      </c>
      <c r="AD47">
        <v>1</v>
      </c>
    </row>
    <row r="48" spans="1:30" hidden="1" x14ac:dyDescent="0.25">
      <c r="A48" s="1">
        <v>47</v>
      </c>
      <c r="B48" s="1">
        <v>28</v>
      </c>
      <c r="C48" s="1" t="str">
        <f t="shared" si="0"/>
        <v>26-35 ans</v>
      </c>
      <c r="D48" s="1">
        <v>3</v>
      </c>
      <c r="E48" s="1">
        <v>1</v>
      </c>
      <c r="F48" s="1">
        <v>2</v>
      </c>
      <c r="G48" s="1">
        <v>1</v>
      </c>
      <c r="H48" s="1">
        <v>3</v>
      </c>
      <c r="I48" s="1">
        <v>1</v>
      </c>
      <c r="J48" s="1">
        <v>3</v>
      </c>
      <c r="K48" s="1">
        <v>150000</v>
      </c>
      <c r="L48" s="1">
        <v>2</v>
      </c>
      <c r="M48" s="1">
        <v>1</v>
      </c>
      <c r="N48" t="s">
        <v>82</v>
      </c>
      <c r="O48" s="1">
        <v>1</v>
      </c>
      <c r="P48" s="1">
        <v>3</v>
      </c>
      <c r="Q48" s="1">
        <v>0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>
        <v>1</v>
      </c>
      <c r="X48" s="1">
        <v>0</v>
      </c>
      <c r="Y48" s="1">
        <v>1</v>
      </c>
      <c r="Z48" s="1">
        <v>1</v>
      </c>
      <c r="AA48" s="1">
        <v>0</v>
      </c>
      <c r="AB48">
        <v>0</v>
      </c>
      <c r="AC48">
        <f t="shared" si="1"/>
        <v>0</v>
      </c>
      <c r="AD48">
        <v>0</v>
      </c>
    </row>
    <row r="49" spans="1:30" x14ac:dyDescent="0.25">
      <c r="A49" s="1">
        <v>48</v>
      </c>
      <c r="B49" s="1">
        <v>46</v>
      </c>
      <c r="C49" s="1" t="str">
        <f t="shared" si="0"/>
        <v>46 ans et +</v>
      </c>
      <c r="D49" s="1">
        <v>1</v>
      </c>
      <c r="E49" s="1">
        <v>2</v>
      </c>
      <c r="F49" s="1">
        <v>3</v>
      </c>
      <c r="G49" s="1">
        <v>2</v>
      </c>
      <c r="H49" s="1">
        <v>3</v>
      </c>
      <c r="I49" s="1">
        <v>3</v>
      </c>
      <c r="J49" s="1">
        <v>4</v>
      </c>
      <c r="K49" s="1">
        <v>50000</v>
      </c>
      <c r="L49" s="1">
        <v>1</v>
      </c>
      <c r="M49" s="1">
        <v>0</v>
      </c>
      <c r="O49" s="1">
        <v>1</v>
      </c>
      <c r="P49" s="1">
        <v>2</v>
      </c>
      <c r="Q49" s="1">
        <v>1</v>
      </c>
      <c r="R49" s="1">
        <v>1</v>
      </c>
      <c r="S49" s="1">
        <v>0</v>
      </c>
      <c r="T49" s="1">
        <v>0</v>
      </c>
      <c r="U49" s="1">
        <v>0</v>
      </c>
      <c r="V49" s="1">
        <v>0</v>
      </c>
      <c r="W49" s="1">
        <v>1</v>
      </c>
      <c r="X49" s="1">
        <v>1</v>
      </c>
      <c r="Y49" s="1">
        <v>4</v>
      </c>
      <c r="Z49" s="1">
        <v>1</v>
      </c>
      <c r="AA49" s="1">
        <v>0</v>
      </c>
      <c r="AB49">
        <v>1</v>
      </c>
      <c r="AC49">
        <f t="shared" si="1"/>
        <v>0</v>
      </c>
      <c r="AD49">
        <v>0</v>
      </c>
    </row>
    <row r="50" spans="1:30" x14ac:dyDescent="0.25">
      <c r="A50" s="1">
        <v>49</v>
      </c>
      <c r="B50" s="1">
        <v>35</v>
      </c>
      <c r="C50" s="1" t="str">
        <f t="shared" si="0"/>
        <v>26-35 ans</v>
      </c>
      <c r="D50" s="1">
        <v>3</v>
      </c>
      <c r="E50" s="1">
        <v>1</v>
      </c>
      <c r="F50" s="1">
        <v>2</v>
      </c>
      <c r="G50" s="1">
        <v>1</v>
      </c>
      <c r="H50" s="1">
        <v>1</v>
      </c>
      <c r="I50" s="1">
        <v>2</v>
      </c>
      <c r="J50" s="1">
        <v>2</v>
      </c>
      <c r="K50" s="1">
        <v>200000</v>
      </c>
      <c r="L50" s="1">
        <v>2</v>
      </c>
      <c r="M50" s="1">
        <v>1</v>
      </c>
      <c r="N50" t="s">
        <v>84</v>
      </c>
      <c r="O50" s="1">
        <v>1</v>
      </c>
      <c r="P50" s="1">
        <v>1</v>
      </c>
      <c r="Q50" s="1">
        <v>1</v>
      </c>
      <c r="R50" s="1">
        <v>2</v>
      </c>
      <c r="S50" s="1">
        <v>1</v>
      </c>
      <c r="T50" s="1">
        <v>0</v>
      </c>
      <c r="U50" s="1">
        <v>1</v>
      </c>
      <c r="V50" s="1">
        <v>1</v>
      </c>
      <c r="W50" s="1">
        <v>1</v>
      </c>
      <c r="X50" s="1">
        <v>1</v>
      </c>
      <c r="Y50" s="1">
        <v>4</v>
      </c>
      <c r="Z50" s="1">
        <v>0</v>
      </c>
      <c r="AA50" s="1">
        <v>0</v>
      </c>
      <c r="AB50">
        <v>1</v>
      </c>
      <c r="AC50">
        <f t="shared" si="1"/>
        <v>1</v>
      </c>
      <c r="AD50">
        <v>0</v>
      </c>
    </row>
    <row r="51" spans="1:30" hidden="1" x14ac:dyDescent="0.25">
      <c r="A51" s="1">
        <v>50</v>
      </c>
      <c r="B51" s="1">
        <v>28</v>
      </c>
      <c r="C51" s="1" t="str">
        <f t="shared" si="0"/>
        <v>26-35 ans</v>
      </c>
      <c r="D51" s="1">
        <v>2</v>
      </c>
      <c r="E51" s="1">
        <v>2</v>
      </c>
      <c r="F51" s="1">
        <v>2</v>
      </c>
      <c r="G51" s="1">
        <v>2</v>
      </c>
      <c r="H51" s="1">
        <v>2</v>
      </c>
      <c r="I51" s="1">
        <v>1</v>
      </c>
      <c r="J51" s="1">
        <v>2</v>
      </c>
      <c r="K51" s="1">
        <v>30000</v>
      </c>
      <c r="L51" s="1">
        <v>2</v>
      </c>
      <c r="M51" s="1">
        <v>1</v>
      </c>
      <c r="N51" t="s">
        <v>83</v>
      </c>
      <c r="O51" s="1">
        <v>1</v>
      </c>
      <c r="P51" s="1">
        <v>1</v>
      </c>
      <c r="Q51" s="1">
        <v>0</v>
      </c>
      <c r="R51" s="1">
        <v>1</v>
      </c>
      <c r="S51" s="1">
        <v>1</v>
      </c>
      <c r="T51" s="1">
        <v>0</v>
      </c>
      <c r="U51" s="1">
        <v>1</v>
      </c>
      <c r="V51" s="1">
        <v>1</v>
      </c>
      <c r="W51" s="1">
        <v>1</v>
      </c>
      <c r="X51" s="1">
        <v>1</v>
      </c>
      <c r="Y51" s="1">
        <v>4</v>
      </c>
      <c r="Z51" s="1">
        <v>0</v>
      </c>
      <c r="AA51" s="1">
        <v>0</v>
      </c>
      <c r="AB51">
        <v>0</v>
      </c>
      <c r="AC51">
        <f t="shared" si="1"/>
        <v>1</v>
      </c>
      <c r="AD51">
        <v>0</v>
      </c>
    </row>
    <row r="52" spans="1:30" x14ac:dyDescent="0.25">
      <c r="A52" s="1">
        <v>51</v>
      </c>
      <c r="B52" s="1">
        <v>37</v>
      </c>
      <c r="C52" s="1" t="str">
        <f t="shared" si="0"/>
        <v>36-45 ans</v>
      </c>
      <c r="D52" s="1">
        <v>1</v>
      </c>
      <c r="E52" s="1">
        <v>4</v>
      </c>
      <c r="F52" s="1">
        <v>3</v>
      </c>
      <c r="G52" s="1">
        <v>1</v>
      </c>
      <c r="H52" s="1">
        <v>1</v>
      </c>
      <c r="I52" s="1">
        <v>1</v>
      </c>
      <c r="J52" s="1">
        <v>3</v>
      </c>
      <c r="K52" s="1">
        <v>250000</v>
      </c>
      <c r="L52" s="1">
        <v>2</v>
      </c>
      <c r="M52" s="1">
        <v>1</v>
      </c>
      <c r="N52" t="s">
        <v>81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1</v>
      </c>
      <c r="W52" s="1">
        <v>0</v>
      </c>
      <c r="X52" s="1">
        <v>0</v>
      </c>
      <c r="Y52" s="1">
        <v>3</v>
      </c>
      <c r="Z52" s="1">
        <v>1</v>
      </c>
      <c r="AA52" s="1">
        <v>1</v>
      </c>
      <c r="AB52">
        <v>1</v>
      </c>
      <c r="AC52">
        <f t="shared" si="1"/>
        <v>0</v>
      </c>
      <c r="AD52">
        <v>0</v>
      </c>
    </row>
    <row r="53" spans="1:30" x14ac:dyDescent="0.25">
      <c r="A53" s="1">
        <v>52</v>
      </c>
      <c r="B53" s="1">
        <v>33</v>
      </c>
      <c r="C53" s="1" t="str">
        <f t="shared" si="0"/>
        <v>26-35 ans</v>
      </c>
      <c r="D53" s="1">
        <v>1</v>
      </c>
      <c r="E53" s="1">
        <v>2</v>
      </c>
      <c r="F53" s="1">
        <v>2</v>
      </c>
      <c r="G53" s="1">
        <v>2</v>
      </c>
      <c r="H53" s="1">
        <v>3</v>
      </c>
      <c r="I53" s="1">
        <v>2</v>
      </c>
      <c r="J53" s="1">
        <v>5</v>
      </c>
      <c r="K53" s="1">
        <v>40000</v>
      </c>
      <c r="L53" s="1">
        <v>1</v>
      </c>
      <c r="M53" s="1">
        <v>0</v>
      </c>
      <c r="O53" s="1">
        <v>1</v>
      </c>
      <c r="P53" s="1">
        <v>2</v>
      </c>
      <c r="Q53" s="1">
        <v>1</v>
      </c>
      <c r="R53" s="1">
        <v>2</v>
      </c>
      <c r="S53" s="1">
        <v>1</v>
      </c>
      <c r="T53" s="1">
        <v>1</v>
      </c>
      <c r="U53" s="1">
        <v>1</v>
      </c>
      <c r="V53" s="1">
        <v>1</v>
      </c>
      <c r="W53" s="1">
        <v>1</v>
      </c>
      <c r="X53" s="1">
        <v>0</v>
      </c>
      <c r="Y53" s="1">
        <v>3</v>
      </c>
      <c r="Z53" s="1">
        <v>0</v>
      </c>
      <c r="AA53" s="1">
        <v>0</v>
      </c>
      <c r="AB53">
        <v>1</v>
      </c>
      <c r="AC53">
        <f t="shared" si="1"/>
        <v>1</v>
      </c>
      <c r="AD53">
        <v>0</v>
      </c>
    </row>
    <row r="54" spans="1:30" x14ac:dyDescent="0.25">
      <c r="A54" s="1">
        <v>53</v>
      </c>
      <c r="B54" s="1">
        <v>39</v>
      </c>
      <c r="C54" s="1" t="str">
        <f t="shared" si="0"/>
        <v>36-45 ans</v>
      </c>
      <c r="D54" s="1">
        <v>2</v>
      </c>
      <c r="E54" s="1">
        <v>1</v>
      </c>
      <c r="F54" s="1">
        <v>2</v>
      </c>
      <c r="G54" s="1">
        <v>1</v>
      </c>
      <c r="H54" s="1">
        <v>3</v>
      </c>
      <c r="I54" s="1">
        <v>1</v>
      </c>
      <c r="J54" s="1">
        <v>2</v>
      </c>
      <c r="K54" s="1">
        <v>300000</v>
      </c>
      <c r="L54" s="1">
        <v>1</v>
      </c>
      <c r="M54" s="1">
        <v>1</v>
      </c>
      <c r="N54" t="s">
        <v>81</v>
      </c>
      <c r="O54" s="1">
        <v>1</v>
      </c>
      <c r="P54" s="1">
        <v>1</v>
      </c>
      <c r="Q54" s="1">
        <v>1</v>
      </c>
      <c r="R54" s="1">
        <v>2</v>
      </c>
      <c r="S54" s="1">
        <v>0</v>
      </c>
      <c r="T54" s="1">
        <v>1</v>
      </c>
      <c r="U54" s="1">
        <v>1</v>
      </c>
      <c r="V54" s="1">
        <v>1</v>
      </c>
      <c r="W54" s="1">
        <v>1</v>
      </c>
      <c r="X54" s="1">
        <v>0</v>
      </c>
      <c r="Y54" s="1">
        <v>2</v>
      </c>
      <c r="Z54" s="1">
        <v>1</v>
      </c>
      <c r="AA54" s="1">
        <v>0</v>
      </c>
      <c r="AB54">
        <v>1</v>
      </c>
      <c r="AC54">
        <f t="shared" si="1"/>
        <v>0</v>
      </c>
      <c r="AD54">
        <v>0</v>
      </c>
    </row>
    <row r="55" spans="1:30" x14ac:dyDescent="0.25">
      <c r="A55" s="1">
        <v>54</v>
      </c>
      <c r="B55" s="1">
        <v>41</v>
      </c>
      <c r="C55" s="1" t="str">
        <f t="shared" si="0"/>
        <v>36-45 ans</v>
      </c>
      <c r="D55" s="1">
        <v>1</v>
      </c>
      <c r="E55" s="1">
        <v>3</v>
      </c>
      <c r="F55" s="1">
        <v>2</v>
      </c>
      <c r="G55" s="1">
        <v>1</v>
      </c>
      <c r="H55" s="1">
        <v>2</v>
      </c>
      <c r="I55" s="1">
        <v>3</v>
      </c>
      <c r="J55" s="1">
        <v>5</v>
      </c>
      <c r="K55" s="1">
        <v>200000</v>
      </c>
      <c r="L55" s="1">
        <v>2</v>
      </c>
      <c r="M55" s="1">
        <v>1</v>
      </c>
      <c r="N55" t="s">
        <v>81</v>
      </c>
      <c r="O55" s="1">
        <v>1</v>
      </c>
      <c r="P55" s="1">
        <v>1</v>
      </c>
      <c r="Q55" s="1">
        <v>0</v>
      </c>
      <c r="R55" s="1">
        <v>1</v>
      </c>
      <c r="S55" s="1">
        <v>1</v>
      </c>
      <c r="T55" s="1">
        <v>0</v>
      </c>
      <c r="U55" s="1">
        <v>1</v>
      </c>
      <c r="V55" s="1">
        <v>1</v>
      </c>
      <c r="W55" s="1">
        <v>1</v>
      </c>
      <c r="X55" s="1">
        <v>0</v>
      </c>
      <c r="Y55" s="1">
        <v>1</v>
      </c>
      <c r="Z55" s="1">
        <v>0</v>
      </c>
      <c r="AA55" s="1">
        <v>0</v>
      </c>
      <c r="AB55">
        <v>1</v>
      </c>
      <c r="AC55">
        <f t="shared" si="1"/>
        <v>1</v>
      </c>
      <c r="AD55">
        <v>0</v>
      </c>
    </row>
    <row r="56" spans="1:30" x14ac:dyDescent="0.25">
      <c r="A56" s="1">
        <v>55</v>
      </c>
      <c r="B56" s="1">
        <v>25</v>
      </c>
      <c r="C56" s="1" t="str">
        <f t="shared" si="0"/>
        <v>18-25 ans</v>
      </c>
      <c r="D56" s="1">
        <v>1</v>
      </c>
      <c r="E56" s="1">
        <v>4</v>
      </c>
      <c r="F56" s="1">
        <v>3</v>
      </c>
      <c r="G56" s="1">
        <v>1</v>
      </c>
      <c r="H56" s="1">
        <v>3</v>
      </c>
      <c r="I56" s="1">
        <v>1</v>
      </c>
      <c r="J56" s="1">
        <v>5</v>
      </c>
      <c r="K56" s="1">
        <v>150000</v>
      </c>
      <c r="L56" s="1">
        <v>1</v>
      </c>
      <c r="M56" s="1">
        <v>1</v>
      </c>
      <c r="N56" t="s">
        <v>84</v>
      </c>
      <c r="O56" s="1">
        <v>0</v>
      </c>
      <c r="P56" s="1">
        <v>2</v>
      </c>
      <c r="Q56" s="1">
        <v>1</v>
      </c>
      <c r="R56" s="1">
        <v>2</v>
      </c>
      <c r="S56" s="1">
        <v>1</v>
      </c>
      <c r="T56" s="1">
        <v>1</v>
      </c>
      <c r="U56" s="1">
        <v>1</v>
      </c>
      <c r="V56" s="1">
        <v>1</v>
      </c>
      <c r="W56" s="1">
        <v>1</v>
      </c>
      <c r="X56" s="1">
        <v>1</v>
      </c>
      <c r="Y56" s="1">
        <v>4</v>
      </c>
      <c r="Z56" s="1">
        <v>1</v>
      </c>
      <c r="AA56" s="1">
        <v>0</v>
      </c>
      <c r="AB56">
        <v>1</v>
      </c>
      <c r="AC56">
        <f t="shared" si="1"/>
        <v>0</v>
      </c>
      <c r="AD56">
        <v>0</v>
      </c>
    </row>
    <row r="57" spans="1:30" hidden="1" x14ac:dyDescent="0.25">
      <c r="A57" s="1">
        <v>56</v>
      </c>
      <c r="B57" s="1">
        <v>45</v>
      </c>
      <c r="C57" s="1" t="str">
        <f t="shared" si="0"/>
        <v>36-45 ans</v>
      </c>
      <c r="D57" s="1">
        <v>3</v>
      </c>
      <c r="E57" s="1">
        <v>2</v>
      </c>
      <c r="F57" s="1">
        <v>2</v>
      </c>
      <c r="G57" s="1">
        <v>2</v>
      </c>
      <c r="H57" s="1">
        <v>2</v>
      </c>
      <c r="I57" s="1">
        <v>2</v>
      </c>
      <c r="J57" s="1">
        <v>4</v>
      </c>
      <c r="K57" s="1">
        <v>40000</v>
      </c>
      <c r="L57" s="1">
        <v>3</v>
      </c>
      <c r="M57" s="1">
        <v>0</v>
      </c>
      <c r="O57" s="1">
        <v>1</v>
      </c>
      <c r="P57" s="1">
        <v>1</v>
      </c>
      <c r="Q57" s="1">
        <v>1</v>
      </c>
      <c r="R57" s="1">
        <v>2</v>
      </c>
      <c r="S57" s="1">
        <v>1</v>
      </c>
      <c r="T57" s="1">
        <v>0</v>
      </c>
      <c r="U57" s="1">
        <v>1</v>
      </c>
      <c r="V57" s="1">
        <v>1</v>
      </c>
      <c r="W57" s="1">
        <v>1</v>
      </c>
      <c r="X57" s="1">
        <v>1</v>
      </c>
      <c r="Y57" s="1">
        <v>4</v>
      </c>
      <c r="Z57" s="1">
        <v>0</v>
      </c>
      <c r="AA57" s="1">
        <v>0</v>
      </c>
      <c r="AB57">
        <v>0</v>
      </c>
      <c r="AC57">
        <f t="shared" si="1"/>
        <v>1</v>
      </c>
      <c r="AD57">
        <v>1</v>
      </c>
    </row>
    <row r="58" spans="1:30" hidden="1" x14ac:dyDescent="0.25">
      <c r="A58" s="1">
        <v>57</v>
      </c>
      <c r="B58" s="1">
        <v>28</v>
      </c>
      <c r="C58" s="1" t="str">
        <f t="shared" si="0"/>
        <v>26-35 ans</v>
      </c>
      <c r="D58" s="1">
        <v>1</v>
      </c>
      <c r="E58" s="1">
        <v>3</v>
      </c>
      <c r="F58" s="1">
        <v>2</v>
      </c>
      <c r="G58" s="1">
        <v>1</v>
      </c>
      <c r="H58" s="1">
        <v>1</v>
      </c>
      <c r="I58" s="1">
        <v>1</v>
      </c>
      <c r="J58" s="1">
        <v>3</v>
      </c>
      <c r="K58" s="1">
        <v>150000</v>
      </c>
      <c r="L58" s="1">
        <v>1</v>
      </c>
      <c r="M58" s="1">
        <v>1</v>
      </c>
      <c r="N58" t="s">
        <v>84</v>
      </c>
      <c r="O58" s="1">
        <v>1</v>
      </c>
      <c r="P58" s="1">
        <v>1</v>
      </c>
      <c r="Q58" s="1">
        <v>1</v>
      </c>
      <c r="R58" s="1">
        <v>3</v>
      </c>
      <c r="S58" s="1">
        <v>0</v>
      </c>
      <c r="T58" s="1">
        <v>0</v>
      </c>
      <c r="U58" s="1">
        <v>1</v>
      </c>
      <c r="V58" s="1">
        <v>1</v>
      </c>
      <c r="W58" s="1">
        <v>1</v>
      </c>
      <c r="X58" s="1">
        <v>1</v>
      </c>
      <c r="Y58" s="1">
        <v>4</v>
      </c>
      <c r="Z58" s="1">
        <v>0</v>
      </c>
      <c r="AA58" s="1">
        <v>0</v>
      </c>
      <c r="AB58">
        <v>0</v>
      </c>
      <c r="AC58">
        <f t="shared" si="1"/>
        <v>1</v>
      </c>
      <c r="AD58">
        <v>0</v>
      </c>
    </row>
    <row r="59" spans="1:30" x14ac:dyDescent="0.25">
      <c r="A59" s="1">
        <v>58</v>
      </c>
      <c r="B59" s="1">
        <v>46</v>
      </c>
      <c r="C59" s="1" t="str">
        <f t="shared" si="0"/>
        <v>46 ans et +</v>
      </c>
      <c r="D59" s="1">
        <v>2</v>
      </c>
      <c r="E59" s="1">
        <v>1</v>
      </c>
      <c r="F59" s="1">
        <v>2</v>
      </c>
      <c r="G59" s="1">
        <v>1</v>
      </c>
      <c r="H59" s="1">
        <v>3</v>
      </c>
      <c r="I59" s="1">
        <v>2</v>
      </c>
      <c r="J59" s="1">
        <v>5</v>
      </c>
      <c r="K59" s="1">
        <v>100000</v>
      </c>
      <c r="L59" s="1">
        <v>1</v>
      </c>
      <c r="M59" s="1">
        <v>0</v>
      </c>
      <c r="O59" s="1">
        <v>1</v>
      </c>
      <c r="P59" s="1">
        <v>1</v>
      </c>
      <c r="Q59" s="1">
        <v>1</v>
      </c>
      <c r="R59" s="1">
        <v>2</v>
      </c>
      <c r="S59" s="1">
        <v>1</v>
      </c>
      <c r="T59" s="1">
        <v>1</v>
      </c>
      <c r="U59" s="1">
        <v>1</v>
      </c>
      <c r="V59" s="1">
        <v>1</v>
      </c>
      <c r="W59" s="1">
        <v>1</v>
      </c>
      <c r="X59" s="1">
        <v>1</v>
      </c>
      <c r="Y59" s="1">
        <v>4</v>
      </c>
      <c r="Z59" s="1">
        <v>1</v>
      </c>
      <c r="AA59" s="1">
        <v>0</v>
      </c>
      <c r="AB59">
        <v>1</v>
      </c>
      <c r="AC59">
        <f t="shared" si="1"/>
        <v>0</v>
      </c>
      <c r="AD59">
        <v>0</v>
      </c>
    </row>
    <row r="60" spans="1:30" x14ac:dyDescent="0.25">
      <c r="A60" s="1">
        <v>59</v>
      </c>
      <c r="B60" s="1">
        <v>25</v>
      </c>
      <c r="C60" s="1" t="str">
        <f t="shared" si="0"/>
        <v>18-25 ans</v>
      </c>
      <c r="D60" s="1">
        <v>1</v>
      </c>
      <c r="E60" s="1">
        <v>2</v>
      </c>
      <c r="F60" s="1">
        <v>1</v>
      </c>
      <c r="G60" s="1">
        <v>2</v>
      </c>
      <c r="H60" s="1">
        <v>1</v>
      </c>
      <c r="I60" s="1">
        <v>1</v>
      </c>
      <c r="J60" s="1">
        <v>2</v>
      </c>
      <c r="K60" s="1">
        <v>20000</v>
      </c>
      <c r="L60" s="1">
        <v>1</v>
      </c>
      <c r="M60" s="1">
        <v>1</v>
      </c>
      <c r="N60" t="s">
        <v>82</v>
      </c>
      <c r="O60" s="1">
        <v>1</v>
      </c>
      <c r="P60" s="1">
        <v>2</v>
      </c>
      <c r="Q60" s="1">
        <v>0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1</v>
      </c>
      <c r="Y60" s="1">
        <v>4</v>
      </c>
      <c r="Z60" s="1">
        <v>1</v>
      </c>
      <c r="AA60" s="1">
        <v>0</v>
      </c>
      <c r="AB60">
        <v>1</v>
      </c>
      <c r="AC60">
        <f t="shared" si="1"/>
        <v>0</v>
      </c>
      <c r="AD60">
        <v>0</v>
      </c>
    </row>
    <row r="61" spans="1:30" hidden="1" x14ac:dyDescent="0.25">
      <c r="A61" s="1">
        <v>60</v>
      </c>
      <c r="B61" s="1">
        <v>26</v>
      </c>
      <c r="C61" s="1" t="str">
        <f t="shared" si="0"/>
        <v>26-35 ans</v>
      </c>
      <c r="D61" s="1">
        <v>1</v>
      </c>
      <c r="E61" s="1">
        <v>3</v>
      </c>
      <c r="F61" s="1">
        <v>2</v>
      </c>
      <c r="G61" s="1">
        <v>1</v>
      </c>
      <c r="H61" s="1">
        <v>3</v>
      </c>
      <c r="I61" s="1">
        <v>1</v>
      </c>
      <c r="J61" s="1">
        <v>4</v>
      </c>
      <c r="K61" s="1">
        <v>100000</v>
      </c>
      <c r="L61" s="1">
        <v>2</v>
      </c>
      <c r="M61" s="1">
        <v>1</v>
      </c>
      <c r="N61" t="s">
        <v>84</v>
      </c>
      <c r="O61" s="1">
        <v>1</v>
      </c>
      <c r="P61" s="1">
        <v>1</v>
      </c>
      <c r="Q61" s="1">
        <v>1</v>
      </c>
      <c r="R61" s="1">
        <v>2</v>
      </c>
      <c r="S61" s="1">
        <v>1</v>
      </c>
      <c r="T61" s="1">
        <v>0</v>
      </c>
      <c r="U61" s="1">
        <v>1</v>
      </c>
      <c r="V61" s="1">
        <v>1</v>
      </c>
      <c r="W61" s="1">
        <v>1</v>
      </c>
      <c r="X61" s="1">
        <v>0</v>
      </c>
      <c r="Y61" s="1">
        <v>2</v>
      </c>
      <c r="Z61" s="1">
        <v>1</v>
      </c>
      <c r="AA61" s="1">
        <v>0</v>
      </c>
      <c r="AB61">
        <v>0</v>
      </c>
      <c r="AC61">
        <f t="shared" si="1"/>
        <v>0</v>
      </c>
      <c r="AD61">
        <v>0</v>
      </c>
    </row>
    <row r="62" spans="1:30" hidden="1" x14ac:dyDescent="0.25">
      <c r="A62" s="1">
        <v>61</v>
      </c>
      <c r="B62" s="1">
        <v>32</v>
      </c>
      <c r="C62" s="1" t="str">
        <f t="shared" si="0"/>
        <v>26-35 ans</v>
      </c>
      <c r="D62" s="1">
        <v>3</v>
      </c>
      <c r="E62" s="1">
        <v>2</v>
      </c>
      <c r="F62" s="1">
        <v>2</v>
      </c>
      <c r="G62" s="1">
        <v>2</v>
      </c>
      <c r="H62" s="1">
        <v>2</v>
      </c>
      <c r="I62" s="1">
        <v>3</v>
      </c>
      <c r="J62" s="1">
        <v>3</v>
      </c>
      <c r="K62" s="1">
        <v>50000</v>
      </c>
      <c r="L62" s="1">
        <v>1</v>
      </c>
      <c r="M62" s="1">
        <v>1</v>
      </c>
      <c r="N62" t="s">
        <v>84</v>
      </c>
      <c r="O62" s="1">
        <v>1</v>
      </c>
      <c r="P62" s="1">
        <v>3</v>
      </c>
      <c r="Q62" s="1">
        <v>1</v>
      </c>
      <c r="R62" s="1">
        <v>3</v>
      </c>
      <c r="S62" s="1">
        <v>0</v>
      </c>
      <c r="T62" s="1">
        <v>0</v>
      </c>
      <c r="U62" s="1">
        <v>1</v>
      </c>
      <c r="V62" s="1">
        <v>1</v>
      </c>
      <c r="W62" s="1">
        <v>0</v>
      </c>
      <c r="X62" s="1">
        <v>0</v>
      </c>
      <c r="Y62" s="1">
        <v>3</v>
      </c>
      <c r="Z62" s="1">
        <v>1</v>
      </c>
      <c r="AA62" s="1">
        <v>0</v>
      </c>
      <c r="AB62">
        <v>0</v>
      </c>
      <c r="AC62">
        <f t="shared" si="1"/>
        <v>0</v>
      </c>
      <c r="AD62">
        <v>0</v>
      </c>
    </row>
    <row r="63" spans="1:30" x14ac:dyDescent="0.25">
      <c r="A63" s="1">
        <v>62</v>
      </c>
      <c r="B63" s="1">
        <v>34</v>
      </c>
      <c r="C63" s="1" t="str">
        <f t="shared" si="0"/>
        <v>26-35 ans</v>
      </c>
      <c r="D63" s="1">
        <v>1</v>
      </c>
      <c r="E63" s="1">
        <v>4</v>
      </c>
      <c r="F63" s="1">
        <v>1</v>
      </c>
      <c r="G63" s="1">
        <v>1</v>
      </c>
      <c r="H63" s="1">
        <v>2</v>
      </c>
      <c r="I63" s="1">
        <v>2</v>
      </c>
      <c r="J63" s="1">
        <v>2</v>
      </c>
      <c r="K63" s="1">
        <v>150000</v>
      </c>
      <c r="L63" s="1">
        <v>2</v>
      </c>
      <c r="M63" s="1">
        <v>0</v>
      </c>
      <c r="O63" s="1">
        <v>0</v>
      </c>
      <c r="P63" s="1">
        <v>1</v>
      </c>
      <c r="Q63" s="1">
        <v>1</v>
      </c>
      <c r="R63" s="1">
        <v>3</v>
      </c>
      <c r="S63" s="1">
        <v>0</v>
      </c>
      <c r="T63" s="1">
        <v>0</v>
      </c>
      <c r="U63" s="1">
        <v>1</v>
      </c>
      <c r="V63" s="1">
        <v>1</v>
      </c>
      <c r="W63" s="1">
        <v>1</v>
      </c>
      <c r="X63" s="1">
        <v>0</v>
      </c>
      <c r="Y63" s="1">
        <v>2</v>
      </c>
      <c r="Z63" s="1">
        <v>1</v>
      </c>
      <c r="AA63" s="1">
        <v>0</v>
      </c>
      <c r="AB63">
        <v>1</v>
      </c>
      <c r="AC63">
        <f t="shared" si="1"/>
        <v>0</v>
      </c>
      <c r="AD63">
        <v>0</v>
      </c>
    </row>
    <row r="64" spans="1:30" x14ac:dyDescent="0.25">
      <c r="A64" s="1">
        <v>63</v>
      </c>
      <c r="B64" s="1">
        <v>46</v>
      </c>
      <c r="C64" s="1" t="str">
        <f t="shared" si="0"/>
        <v>46 ans et +</v>
      </c>
      <c r="D64" s="1">
        <v>2</v>
      </c>
      <c r="E64" s="1">
        <v>2</v>
      </c>
      <c r="F64" s="1">
        <v>2</v>
      </c>
      <c r="G64" s="1">
        <v>1</v>
      </c>
      <c r="H64" s="1">
        <v>3</v>
      </c>
      <c r="I64" s="1">
        <v>2</v>
      </c>
      <c r="J64" s="1">
        <v>3</v>
      </c>
      <c r="K64" s="1">
        <v>150000</v>
      </c>
      <c r="L64" s="1">
        <v>1</v>
      </c>
      <c r="M64" s="1">
        <v>1</v>
      </c>
      <c r="N64" t="s">
        <v>81</v>
      </c>
      <c r="O64" s="1">
        <v>1</v>
      </c>
      <c r="P64" s="1">
        <v>1</v>
      </c>
      <c r="Q64" s="1">
        <v>1</v>
      </c>
      <c r="R64" s="1">
        <v>1</v>
      </c>
      <c r="S64" s="1">
        <v>1</v>
      </c>
      <c r="T64" s="1">
        <v>0</v>
      </c>
      <c r="U64" s="1">
        <v>1</v>
      </c>
      <c r="V64" s="1">
        <v>1</v>
      </c>
      <c r="W64" s="1">
        <v>1</v>
      </c>
      <c r="X64" s="1">
        <v>1</v>
      </c>
      <c r="Y64" s="1">
        <v>4</v>
      </c>
      <c r="Z64" s="1">
        <v>1</v>
      </c>
      <c r="AA64" s="1">
        <v>0</v>
      </c>
      <c r="AB64">
        <v>1</v>
      </c>
      <c r="AC64">
        <f t="shared" si="1"/>
        <v>0</v>
      </c>
      <c r="AD64">
        <v>0</v>
      </c>
    </row>
    <row r="65" spans="1:30" x14ac:dyDescent="0.25">
      <c r="A65" s="1">
        <v>64</v>
      </c>
      <c r="B65" s="1">
        <v>26</v>
      </c>
      <c r="C65" s="1" t="str">
        <f t="shared" si="0"/>
        <v>26-35 ans</v>
      </c>
      <c r="D65" s="1">
        <v>1</v>
      </c>
      <c r="E65" s="1">
        <v>1</v>
      </c>
      <c r="F65" s="1">
        <v>2</v>
      </c>
      <c r="G65" s="1">
        <v>1</v>
      </c>
      <c r="H65" s="1">
        <v>1</v>
      </c>
      <c r="I65" s="1">
        <v>1</v>
      </c>
      <c r="J65" s="1">
        <v>4</v>
      </c>
      <c r="K65" s="1">
        <v>200000</v>
      </c>
      <c r="L65" s="1">
        <v>1</v>
      </c>
      <c r="M65" s="1">
        <v>0</v>
      </c>
      <c r="O65" s="1">
        <v>1</v>
      </c>
      <c r="P65" s="1">
        <v>1</v>
      </c>
      <c r="Q65" s="1">
        <v>0</v>
      </c>
      <c r="R65" s="1">
        <v>2</v>
      </c>
      <c r="S65" s="1">
        <v>1</v>
      </c>
      <c r="T65" s="1">
        <v>1</v>
      </c>
      <c r="U65" s="1">
        <v>1</v>
      </c>
      <c r="V65" s="1">
        <v>1</v>
      </c>
      <c r="W65" s="1">
        <v>1</v>
      </c>
      <c r="X65" s="1">
        <v>1</v>
      </c>
      <c r="Y65" s="1">
        <v>4</v>
      </c>
      <c r="Z65" s="1">
        <v>0</v>
      </c>
      <c r="AA65" s="1">
        <v>0</v>
      </c>
      <c r="AB65">
        <v>1</v>
      </c>
      <c r="AC65">
        <f t="shared" si="1"/>
        <v>1</v>
      </c>
      <c r="AD65">
        <v>0</v>
      </c>
    </row>
    <row r="66" spans="1:30" x14ac:dyDescent="0.25">
      <c r="A66" s="1">
        <v>65</v>
      </c>
      <c r="B66" s="1">
        <v>33</v>
      </c>
      <c r="C66" s="1" t="str">
        <f t="shared" si="0"/>
        <v>26-35 ans</v>
      </c>
      <c r="D66" s="1">
        <v>1</v>
      </c>
      <c r="E66" s="1">
        <v>2</v>
      </c>
      <c r="F66" s="1">
        <v>2</v>
      </c>
      <c r="G66" s="1">
        <v>2</v>
      </c>
      <c r="H66" s="1">
        <v>3</v>
      </c>
      <c r="I66" s="1">
        <v>2</v>
      </c>
      <c r="J66" s="1">
        <v>2</v>
      </c>
      <c r="K66" s="1">
        <v>40000</v>
      </c>
      <c r="L66" s="1">
        <v>1</v>
      </c>
      <c r="M66" s="1">
        <v>1</v>
      </c>
      <c r="N66" t="s">
        <v>81</v>
      </c>
      <c r="O66" s="1">
        <v>1</v>
      </c>
      <c r="P66" s="1">
        <v>1</v>
      </c>
      <c r="Q66" s="1">
        <v>1</v>
      </c>
      <c r="R66" s="1">
        <v>1</v>
      </c>
      <c r="S66" s="1">
        <v>1</v>
      </c>
      <c r="T66" s="1">
        <v>1</v>
      </c>
      <c r="U66" s="1">
        <v>1</v>
      </c>
      <c r="V66" s="1">
        <v>1</v>
      </c>
      <c r="W66" s="1">
        <v>1</v>
      </c>
      <c r="X66" s="1">
        <v>1</v>
      </c>
      <c r="Y66" s="1">
        <v>4</v>
      </c>
      <c r="Z66" s="1">
        <v>1</v>
      </c>
      <c r="AA66" s="1">
        <v>0</v>
      </c>
      <c r="AB66">
        <v>1</v>
      </c>
      <c r="AC66">
        <f t="shared" si="1"/>
        <v>0</v>
      </c>
      <c r="AD66">
        <v>0</v>
      </c>
    </row>
    <row r="67" spans="1:30" x14ac:dyDescent="0.25">
      <c r="A67" s="1">
        <v>66</v>
      </c>
      <c r="B67" s="1">
        <v>39</v>
      </c>
      <c r="C67" s="1" t="str">
        <f t="shared" ref="C67:C101" si="2">IF(B67&lt;26,"18-25 ans",IF(B67&lt;36,"26-35 ans",IF(B67&lt;46,"36-45 ans","46 ans et +")))</f>
        <v>36-45 ans</v>
      </c>
      <c r="D67" s="1">
        <v>3</v>
      </c>
      <c r="E67" s="1">
        <v>3</v>
      </c>
      <c r="F67" s="1">
        <v>1</v>
      </c>
      <c r="G67" s="1">
        <v>2</v>
      </c>
      <c r="H67" s="1">
        <v>3</v>
      </c>
      <c r="I67" s="1">
        <v>2</v>
      </c>
      <c r="J67" s="1">
        <v>3</v>
      </c>
      <c r="K67" s="1">
        <v>40000</v>
      </c>
      <c r="L67" s="1">
        <v>2</v>
      </c>
      <c r="M67" s="1">
        <v>1</v>
      </c>
      <c r="N67" t="s">
        <v>84</v>
      </c>
      <c r="O67" s="1">
        <v>1</v>
      </c>
      <c r="P67" s="1">
        <v>3</v>
      </c>
      <c r="Q67" s="1">
        <v>1</v>
      </c>
      <c r="R67" s="1">
        <v>2</v>
      </c>
      <c r="S67" s="1">
        <v>1</v>
      </c>
      <c r="T67" s="1">
        <v>1</v>
      </c>
      <c r="U67" s="1">
        <v>1</v>
      </c>
      <c r="V67" s="1">
        <v>1</v>
      </c>
      <c r="W67" s="1">
        <v>1</v>
      </c>
      <c r="X67" s="1">
        <v>0</v>
      </c>
      <c r="Y67" s="1">
        <v>2</v>
      </c>
      <c r="Z67" s="1">
        <v>1</v>
      </c>
      <c r="AA67" s="1">
        <v>0</v>
      </c>
      <c r="AB67">
        <v>1</v>
      </c>
      <c r="AC67">
        <f t="shared" ref="AC67:AC101" si="3">IF(Z67=1,0,1)</f>
        <v>0</v>
      </c>
      <c r="AD67">
        <v>0</v>
      </c>
    </row>
    <row r="68" spans="1:30" hidden="1" x14ac:dyDescent="0.25">
      <c r="A68" s="1">
        <v>67</v>
      </c>
      <c r="B68" s="1">
        <v>30</v>
      </c>
      <c r="C68" s="1" t="str">
        <f t="shared" si="2"/>
        <v>26-35 ans</v>
      </c>
      <c r="D68" s="1">
        <v>2</v>
      </c>
      <c r="E68" s="1">
        <v>2</v>
      </c>
      <c r="F68" s="1">
        <v>2</v>
      </c>
      <c r="G68" s="1">
        <v>1</v>
      </c>
      <c r="H68" s="1">
        <v>1</v>
      </c>
      <c r="I68" s="1">
        <v>2</v>
      </c>
      <c r="J68" s="1">
        <v>1</v>
      </c>
      <c r="K68" s="1">
        <v>250000</v>
      </c>
      <c r="L68" s="1">
        <v>2</v>
      </c>
      <c r="M68" s="1">
        <v>1</v>
      </c>
      <c r="N68" t="s">
        <v>84</v>
      </c>
      <c r="O68" s="1">
        <v>1</v>
      </c>
      <c r="P68" s="1">
        <v>1</v>
      </c>
      <c r="Q68" s="1">
        <v>1</v>
      </c>
      <c r="R68" s="1">
        <v>2</v>
      </c>
      <c r="S68" s="1">
        <v>1</v>
      </c>
      <c r="T68" s="1">
        <v>0</v>
      </c>
      <c r="U68" s="1">
        <v>1</v>
      </c>
      <c r="V68" s="1">
        <v>1</v>
      </c>
      <c r="W68" s="1">
        <v>1</v>
      </c>
      <c r="X68" s="1">
        <v>1</v>
      </c>
      <c r="Y68" s="1">
        <v>4</v>
      </c>
      <c r="Z68" s="1">
        <v>0</v>
      </c>
      <c r="AA68" s="1">
        <v>0</v>
      </c>
      <c r="AB68">
        <v>0</v>
      </c>
      <c r="AC68">
        <f t="shared" si="3"/>
        <v>1</v>
      </c>
      <c r="AD68">
        <v>1</v>
      </c>
    </row>
    <row r="69" spans="1:30" x14ac:dyDescent="0.25">
      <c r="A69" s="1">
        <v>68</v>
      </c>
      <c r="B69" s="1">
        <v>28</v>
      </c>
      <c r="C69" s="1" t="str">
        <f t="shared" si="2"/>
        <v>26-35 ans</v>
      </c>
      <c r="D69" s="1">
        <v>1</v>
      </c>
      <c r="E69" s="1">
        <v>4</v>
      </c>
      <c r="F69" s="1">
        <v>1</v>
      </c>
      <c r="G69" s="1">
        <v>2</v>
      </c>
      <c r="H69" s="1">
        <v>3</v>
      </c>
      <c r="I69" s="1">
        <v>1</v>
      </c>
      <c r="J69" s="1">
        <v>2</v>
      </c>
      <c r="K69" s="1">
        <v>30000</v>
      </c>
      <c r="L69" s="1">
        <v>1</v>
      </c>
      <c r="M69" s="1">
        <v>0</v>
      </c>
      <c r="O69" s="1">
        <v>1</v>
      </c>
      <c r="P69" s="1">
        <v>4</v>
      </c>
      <c r="Q69" s="1">
        <v>0</v>
      </c>
      <c r="R69" s="1">
        <v>1</v>
      </c>
      <c r="S69" s="1">
        <v>1</v>
      </c>
      <c r="T69" s="1">
        <v>1</v>
      </c>
      <c r="U69" s="1">
        <v>1</v>
      </c>
      <c r="V69" s="1">
        <v>1</v>
      </c>
      <c r="W69" s="1">
        <v>0</v>
      </c>
      <c r="X69" s="1">
        <v>0</v>
      </c>
      <c r="Y69" s="1">
        <v>3</v>
      </c>
      <c r="Z69" s="1">
        <v>0</v>
      </c>
      <c r="AA69" s="1">
        <v>1</v>
      </c>
      <c r="AB69">
        <v>1</v>
      </c>
      <c r="AC69">
        <f t="shared" si="3"/>
        <v>1</v>
      </c>
      <c r="AD69">
        <v>0</v>
      </c>
    </row>
    <row r="70" spans="1:30" x14ac:dyDescent="0.25">
      <c r="A70" s="1">
        <v>69</v>
      </c>
      <c r="B70" s="1">
        <v>41</v>
      </c>
      <c r="C70" s="1" t="str">
        <f t="shared" si="2"/>
        <v>36-45 ans</v>
      </c>
      <c r="D70" s="1">
        <v>1</v>
      </c>
      <c r="E70" s="1">
        <v>1</v>
      </c>
      <c r="F70" s="1">
        <v>2</v>
      </c>
      <c r="G70" s="1">
        <v>1</v>
      </c>
      <c r="H70" s="1">
        <v>2</v>
      </c>
      <c r="I70" s="1">
        <v>3</v>
      </c>
      <c r="J70" s="1">
        <v>3</v>
      </c>
      <c r="K70" s="1">
        <v>150000</v>
      </c>
      <c r="L70" s="1">
        <v>1</v>
      </c>
      <c r="M70" s="1">
        <v>1</v>
      </c>
      <c r="N70" t="s">
        <v>82</v>
      </c>
      <c r="O70" s="1">
        <v>1</v>
      </c>
      <c r="P70" s="1">
        <v>1</v>
      </c>
      <c r="Q70" s="1">
        <v>1</v>
      </c>
      <c r="R70" s="1">
        <v>2</v>
      </c>
      <c r="S70" s="1">
        <v>0</v>
      </c>
      <c r="T70" s="1">
        <v>1</v>
      </c>
      <c r="U70" s="1">
        <v>1</v>
      </c>
      <c r="V70" s="1">
        <v>1</v>
      </c>
      <c r="W70" s="1">
        <v>1</v>
      </c>
      <c r="X70" s="1">
        <v>1</v>
      </c>
      <c r="Y70" s="1">
        <v>4</v>
      </c>
      <c r="Z70" s="1">
        <v>1</v>
      </c>
      <c r="AA70" s="1">
        <v>0</v>
      </c>
      <c r="AB70">
        <v>1</v>
      </c>
      <c r="AC70">
        <f t="shared" si="3"/>
        <v>0</v>
      </c>
      <c r="AD70">
        <v>0</v>
      </c>
    </row>
    <row r="71" spans="1:30" x14ac:dyDescent="0.25">
      <c r="A71" s="1">
        <v>70</v>
      </c>
      <c r="B71" s="1">
        <v>45</v>
      </c>
      <c r="C71" s="1" t="str">
        <f t="shared" si="2"/>
        <v>36-45 ans</v>
      </c>
      <c r="D71" s="1">
        <v>2</v>
      </c>
      <c r="E71" s="1">
        <v>3</v>
      </c>
      <c r="F71" s="1">
        <v>1</v>
      </c>
      <c r="G71" s="1">
        <v>2</v>
      </c>
      <c r="H71" s="1">
        <v>2</v>
      </c>
      <c r="I71" s="1">
        <v>3</v>
      </c>
      <c r="J71" s="1">
        <v>5</v>
      </c>
      <c r="K71" s="1">
        <v>50000</v>
      </c>
      <c r="L71" s="1">
        <v>3</v>
      </c>
      <c r="M71" s="1">
        <v>0</v>
      </c>
      <c r="O71" s="1">
        <v>1</v>
      </c>
      <c r="P71" s="1">
        <v>2</v>
      </c>
      <c r="Q71" s="1">
        <v>0</v>
      </c>
      <c r="R71" s="1">
        <v>2</v>
      </c>
      <c r="S71" s="1">
        <v>1</v>
      </c>
      <c r="T71" s="1">
        <v>0</v>
      </c>
      <c r="U71" s="1">
        <v>1</v>
      </c>
      <c r="V71" s="1">
        <v>1</v>
      </c>
      <c r="W71" s="1">
        <v>1</v>
      </c>
      <c r="X71" s="1">
        <v>0</v>
      </c>
      <c r="Y71" s="1">
        <v>3</v>
      </c>
      <c r="Z71" s="1">
        <v>1</v>
      </c>
      <c r="AA71" s="1">
        <v>0</v>
      </c>
      <c r="AB71">
        <v>1</v>
      </c>
      <c r="AC71">
        <f t="shared" si="3"/>
        <v>0</v>
      </c>
      <c r="AD71">
        <v>0</v>
      </c>
    </row>
    <row r="72" spans="1:30" x14ac:dyDescent="0.25">
      <c r="A72" s="1">
        <v>71</v>
      </c>
      <c r="B72" s="1">
        <v>50</v>
      </c>
      <c r="C72" s="1" t="str">
        <f t="shared" si="2"/>
        <v>46 ans et +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4</v>
      </c>
      <c r="J72" s="1">
        <v>5</v>
      </c>
      <c r="K72" s="1">
        <v>300000</v>
      </c>
      <c r="L72" s="1">
        <v>2</v>
      </c>
      <c r="M72" s="1">
        <v>1</v>
      </c>
      <c r="N72" t="s">
        <v>81</v>
      </c>
      <c r="O72" s="1">
        <v>0</v>
      </c>
      <c r="P72" s="1">
        <v>2</v>
      </c>
      <c r="Q72" s="1">
        <v>1</v>
      </c>
      <c r="R72" s="1">
        <v>1</v>
      </c>
      <c r="S72" s="1">
        <v>1</v>
      </c>
      <c r="T72" s="1">
        <v>1</v>
      </c>
      <c r="U72" s="1">
        <v>1</v>
      </c>
      <c r="V72" s="1">
        <v>1</v>
      </c>
      <c r="W72" s="1">
        <v>1</v>
      </c>
      <c r="X72" s="1">
        <v>0</v>
      </c>
      <c r="Y72" s="1">
        <v>2</v>
      </c>
      <c r="Z72" s="1">
        <v>0</v>
      </c>
      <c r="AA72" s="1">
        <v>0</v>
      </c>
      <c r="AB72">
        <v>1</v>
      </c>
      <c r="AC72">
        <f t="shared" si="3"/>
        <v>1</v>
      </c>
      <c r="AD72">
        <v>0</v>
      </c>
    </row>
    <row r="73" spans="1:30" x14ac:dyDescent="0.25">
      <c r="A73" s="1">
        <v>72</v>
      </c>
      <c r="B73" s="1">
        <v>37</v>
      </c>
      <c r="C73" s="1" t="str">
        <f t="shared" si="2"/>
        <v>36-45 ans</v>
      </c>
      <c r="D73" s="1">
        <v>3</v>
      </c>
      <c r="E73" s="1">
        <v>2</v>
      </c>
      <c r="F73" s="1">
        <v>3</v>
      </c>
      <c r="G73" s="1">
        <v>1</v>
      </c>
      <c r="H73" s="1">
        <v>3</v>
      </c>
      <c r="I73" s="1">
        <v>2</v>
      </c>
      <c r="J73" s="1">
        <v>3</v>
      </c>
      <c r="K73" s="1">
        <v>250000</v>
      </c>
      <c r="L73" s="1">
        <v>2</v>
      </c>
      <c r="M73" s="1">
        <v>1</v>
      </c>
      <c r="N73" t="s">
        <v>84</v>
      </c>
      <c r="O73" s="1">
        <v>1</v>
      </c>
      <c r="P73" s="1">
        <v>3</v>
      </c>
      <c r="Q73" s="1">
        <v>1</v>
      </c>
      <c r="R73" s="1">
        <v>2</v>
      </c>
      <c r="S73" s="1">
        <v>1</v>
      </c>
      <c r="T73" s="1">
        <v>0</v>
      </c>
      <c r="U73" s="1">
        <v>0</v>
      </c>
      <c r="V73" s="1">
        <v>0</v>
      </c>
      <c r="W73" s="1">
        <v>1</v>
      </c>
      <c r="X73" s="1">
        <v>0</v>
      </c>
      <c r="Y73" s="1">
        <v>3</v>
      </c>
      <c r="Z73" s="1">
        <v>0</v>
      </c>
      <c r="AA73" s="1">
        <v>0</v>
      </c>
      <c r="AB73">
        <v>1</v>
      </c>
      <c r="AC73">
        <f t="shared" si="3"/>
        <v>1</v>
      </c>
      <c r="AD73">
        <v>1</v>
      </c>
    </row>
    <row r="74" spans="1:30" x14ac:dyDescent="0.25">
      <c r="A74" s="1">
        <v>73</v>
      </c>
      <c r="B74" s="1">
        <v>29</v>
      </c>
      <c r="C74" s="1" t="str">
        <f t="shared" si="2"/>
        <v>26-35 ans</v>
      </c>
      <c r="D74" s="1">
        <v>1</v>
      </c>
      <c r="E74" s="1">
        <v>2</v>
      </c>
      <c r="F74" s="1">
        <v>2</v>
      </c>
      <c r="G74" s="1">
        <v>1</v>
      </c>
      <c r="H74" s="1">
        <v>2</v>
      </c>
      <c r="I74" s="1">
        <v>1</v>
      </c>
      <c r="J74" s="1">
        <v>2</v>
      </c>
      <c r="K74" s="1">
        <v>250000</v>
      </c>
      <c r="L74" s="1">
        <v>1</v>
      </c>
      <c r="M74" s="1">
        <v>1</v>
      </c>
      <c r="N74" t="s">
        <v>84</v>
      </c>
      <c r="O74" s="1">
        <v>1</v>
      </c>
      <c r="P74" s="1">
        <v>3</v>
      </c>
      <c r="Q74" s="1">
        <v>0</v>
      </c>
      <c r="R74" s="1">
        <v>3</v>
      </c>
      <c r="S74" s="1">
        <v>0</v>
      </c>
      <c r="T74" s="1">
        <v>1</v>
      </c>
      <c r="U74" s="1">
        <v>1</v>
      </c>
      <c r="V74" s="1">
        <v>0</v>
      </c>
      <c r="W74" s="1">
        <v>1</v>
      </c>
      <c r="X74" s="1">
        <v>0</v>
      </c>
      <c r="Y74" s="1">
        <v>1</v>
      </c>
      <c r="Z74" s="1">
        <v>1</v>
      </c>
      <c r="AA74" s="1">
        <v>0</v>
      </c>
      <c r="AB74">
        <v>1</v>
      </c>
      <c r="AC74">
        <f t="shared" si="3"/>
        <v>0</v>
      </c>
      <c r="AD74">
        <v>0</v>
      </c>
    </row>
    <row r="75" spans="1:30" hidden="1" x14ac:dyDescent="0.25">
      <c r="A75" s="1">
        <v>74</v>
      </c>
      <c r="B75" s="1">
        <v>43</v>
      </c>
      <c r="C75" s="1" t="str">
        <f t="shared" si="2"/>
        <v>36-45 ans</v>
      </c>
      <c r="D75" s="1">
        <v>2</v>
      </c>
      <c r="E75" s="1">
        <v>3</v>
      </c>
      <c r="F75" s="1">
        <v>2</v>
      </c>
      <c r="G75" s="1">
        <v>2</v>
      </c>
      <c r="H75" s="1">
        <v>1</v>
      </c>
      <c r="I75" s="1">
        <v>3</v>
      </c>
      <c r="J75" s="1">
        <v>5</v>
      </c>
      <c r="K75" s="1">
        <v>40000</v>
      </c>
      <c r="L75" s="1">
        <v>2</v>
      </c>
      <c r="M75" s="1">
        <v>1</v>
      </c>
      <c r="N75" t="s">
        <v>83</v>
      </c>
      <c r="O75" s="1">
        <v>1</v>
      </c>
      <c r="P75" s="1">
        <v>1</v>
      </c>
      <c r="Q75" s="1">
        <v>1</v>
      </c>
      <c r="R75" s="1">
        <v>2</v>
      </c>
      <c r="S75" s="1">
        <v>0</v>
      </c>
      <c r="T75" s="1">
        <v>1</v>
      </c>
      <c r="U75" s="1">
        <v>1</v>
      </c>
      <c r="V75" s="1">
        <v>1</v>
      </c>
      <c r="W75" s="1">
        <v>1</v>
      </c>
      <c r="X75" s="1">
        <v>1</v>
      </c>
      <c r="Y75" s="1">
        <v>4</v>
      </c>
      <c r="Z75" s="1">
        <v>0</v>
      </c>
      <c r="AA75" s="1">
        <v>0</v>
      </c>
      <c r="AB75">
        <v>0</v>
      </c>
      <c r="AC75">
        <f t="shared" si="3"/>
        <v>1</v>
      </c>
      <c r="AD75">
        <v>0</v>
      </c>
    </row>
    <row r="76" spans="1:30" x14ac:dyDescent="0.25">
      <c r="A76" s="1">
        <v>75</v>
      </c>
      <c r="B76" s="1">
        <v>36</v>
      </c>
      <c r="C76" s="1" t="str">
        <f t="shared" si="2"/>
        <v>36-45 ans</v>
      </c>
      <c r="D76" s="1">
        <v>1</v>
      </c>
      <c r="E76" s="1">
        <v>2</v>
      </c>
      <c r="F76" s="1">
        <v>1</v>
      </c>
      <c r="G76" s="1">
        <v>1</v>
      </c>
      <c r="H76" s="1">
        <v>1</v>
      </c>
      <c r="I76" s="1">
        <v>2</v>
      </c>
      <c r="J76" s="1">
        <v>2</v>
      </c>
      <c r="K76" s="1">
        <v>150000</v>
      </c>
      <c r="L76" s="1">
        <v>1</v>
      </c>
      <c r="M76" s="1">
        <v>1</v>
      </c>
      <c r="N76" t="s">
        <v>84</v>
      </c>
      <c r="O76" s="1">
        <v>1</v>
      </c>
      <c r="P76" s="1">
        <v>1</v>
      </c>
      <c r="Q76" s="1">
        <v>1</v>
      </c>
      <c r="R76" s="1">
        <v>1</v>
      </c>
      <c r="S76" s="1">
        <v>0</v>
      </c>
      <c r="T76" s="1">
        <v>0</v>
      </c>
      <c r="U76" s="1">
        <v>1</v>
      </c>
      <c r="V76" s="1">
        <v>1</v>
      </c>
      <c r="W76" s="1">
        <v>1</v>
      </c>
      <c r="X76" s="1">
        <v>1</v>
      </c>
      <c r="Y76" s="1">
        <v>4</v>
      </c>
      <c r="Z76" s="1">
        <v>1</v>
      </c>
      <c r="AA76" s="1">
        <v>0</v>
      </c>
      <c r="AB76">
        <v>1</v>
      </c>
      <c r="AC76">
        <f t="shared" si="3"/>
        <v>0</v>
      </c>
      <c r="AD76">
        <v>0</v>
      </c>
    </row>
    <row r="77" spans="1:30" hidden="1" x14ac:dyDescent="0.25">
      <c r="A77" s="1">
        <v>76</v>
      </c>
      <c r="B77" s="1">
        <v>25</v>
      </c>
      <c r="C77" s="1" t="str">
        <f t="shared" si="2"/>
        <v>18-25 ans</v>
      </c>
      <c r="D77" s="1">
        <v>1</v>
      </c>
      <c r="E77" s="1">
        <v>1</v>
      </c>
      <c r="F77" s="1">
        <v>2</v>
      </c>
      <c r="G77" s="1">
        <v>2</v>
      </c>
      <c r="H77" s="1">
        <v>2</v>
      </c>
      <c r="I77" s="1">
        <v>1</v>
      </c>
      <c r="J77" s="1">
        <v>5</v>
      </c>
      <c r="K77" s="1">
        <v>30000</v>
      </c>
      <c r="L77" s="1">
        <v>1</v>
      </c>
      <c r="M77" s="1">
        <v>0</v>
      </c>
      <c r="O77" s="1">
        <v>1</v>
      </c>
      <c r="P77" s="1">
        <v>1</v>
      </c>
      <c r="Q77" s="1">
        <v>1</v>
      </c>
      <c r="R77" s="1">
        <v>3</v>
      </c>
      <c r="S77" s="1">
        <v>1</v>
      </c>
      <c r="T77" s="1">
        <v>1</v>
      </c>
      <c r="U77" s="1">
        <v>1</v>
      </c>
      <c r="V77" s="1">
        <v>1</v>
      </c>
      <c r="W77" s="1">
        <v>1</v>
      </c>
      <c r="X77" s="1">
        <v>1</v>
      </c>
      <c r="Y77" s="1">
        <v>4</v>
      </c>
      <c r="Z77" s="1">
        <v>1</v>
      </c>
      <c r="AA77" s="1">
        <v>0</v>
      </c>
      <c r="AB77">
        <v>0</v>
      </c>
      <c r="AC77">
        <f t="shared" si="3"/>
        <v>0</v>
      </c>
      <c r="AD77">
        <v>0</v>
      </c>
    </row>
    <row r="78" spans="1:30" hidden="1" x14ac:dyDescent="0.25">
      <c r="A78" s="1">
        <v>77</v>
      </c>
      <c r="B78" s="1">
        <v>49</v>
      </c>
      <c r="C78" s="1" t="str">
        <f t="shared" si="2"/>
        <v>46 ans et +</v>
      </c>
      <c r="D78" s="1">
        <v>1</v>
      </c>
      <c r="E78" s="1">
        <v>1</v>
      </c>
      <c r="F78" s="1">
        <v>2</v>
      </c>
      <c r="G78" s="1">
        <v>1</v>
      </c>
      <c r="H78" s="1">
        <v>2</v>
      </c>
      <c r="I78" s="1">
        <v>3</v>
      </c>
      <c r="J78" s="1">
        <v>3</v>
      </c>
      <c r="K78" s="1">
        <v>200000</v>
      </c>
      <c r="L78" s="1">
        <v>1</v>
      </c>
      <c r="M78" s="1">
        <v>1</v>
      </c>
      <c r="N78" t="s">
        <v>84</v>
      </c>
      <c r="O78" s="1">
        <v>1</v>
      </c>
      <c r="P78" s="1">
        <v>1</v>
      </c>
      <c r="Q78" s="1">
        <v>0</v>
      </c>
      <c r="R78" s="1">
        <v>1</v>
      </c>
      <c r="S78" s="1">
        <v>1</v>
      </c>
      <c r="T78" s="1">
        <v>0</v>
      </c>
      <c r="U78" s="1">
        <v>1</v>
      </c>
      <c r="V78" s="1">
        <v>1</v>
      </c>
      <c r="W78" s="1">
        <v>1</v>
      </c>
      <c r="X78" s="1">
        <v>1</v>
      </c>
      <c r="Y78" s="1">
        <v>4</v>
      </c>
      <c r="Z78" s="1">
        <v>0</v>
      </c>
      <c r="AA78" s="1">
        <v>0</v>
      </c>
      <c r="AB78">
        <v>0</v>
      </c>
      <c r="AC78">
        <f t="shared" si="3"/>
        <v>1</v>
      </c>
      <c r="AD78">
        <v>0</v>
      </c>
    </row>
    <row r="79" spans="1:30" x14ac:dyDescent="0.25">
      <c r="A79" s="1">
        <v>78</v>
      </c>
      <c r="B79" s="1">
        <v>31</v>
      </c>
      <c r="C79" s="1" t="str">
        <f t="shared" si="2"/>
        <v>26-35 ans</v>
      </c>
      <c r="D79" s="1">
        <v>3</v>
      </c>
      <c r="E79" s="1">
        <v>4</v>
      </c>
      <c r="F79" s="1">
        <v>1</v>
      </c>
      <c r="G79" s="1">
        <v>1</v>
      </c>
      <c r="H79" s="1">
        <v>1</v>
      </c>
      <c r="I79" s="1">
        <v>2</v>
      </c>
      <c r="J79" s="1">
        <v>2</v>
      </c>
      <c r="K79" s="1">
        <v>200000</v>
      </c>
      <c r="L79" s="1">
        <v>2</v>
      </c>
      <c r="M79" s="1">
        <v>1</v>
      </c>
      <c r="N79" t="s">
        <v>81</v>
      </c>
      <c r="O79" s="1">
        <v>1</v>
      </c>
      <c r="P79" s="1">
        <v>3</v>
      </c>
      <c r="Q79" s="1">
        <v>1</v>
      </c>
      <c r="R79" s="1">
        <v>2</v>
      </c>
      <c r="S79" s="1">
        <v>1</v>
      </c>
      <c r="T79" s="1">
        <v>1</v>
      </c>
      <c r="U79" s="1">
        <v>1</v>
      </c>
      <c r="V79" s="1">
        <v>1</v>
      </c>
      <c r="W79" s="1">
        <v>1</v>
      </c>
      <c r="X79" s="1">
        <v>1</v>
      </c>
      <c r="Y79" s="1">
        <v>4</v>
      </c>
      <c r="Z79" s="1">
        <v>0</v>
      </c>
      <c r="AA79" s="1">
        <v>0</v>
      </c>
      <c r="AB79">
        <v>1</v>
      </c>
      <c r="AC79">
        <f t="shared" si="3"/>
        <v>1</v>
      </c>
      <c r="AD79">
        <v>1</v>
      </c>
    </row>
    <row r="80" spans="1:30" hidden="1" x14ac:dyDescent="0.25">
      <c r="A80" s="1">
        <v>79</v>
      </c>
      <c r="B80" s="1">
        <v>34</v>
      </c>
      <c r="C80" s="1" t="str">
        <f t="shared" si="2"/>
        <v>26-35 ans</v>
      </c>
      <c r="D80" s="1">
        <v>2</v>
      </c>
      <c r="E80" s="1">
        <v>2</v>
      </c>
      <c r="F80" s="1">
        <v>2</v>
      </c>
      <c r="G80" s="1">
        <v>1</v>
      </c>
      <c r="H80" s="1">
        <v>3</v>
      </c>
      <c r="I80" s="1">
        <v>2</v>
      </c>
      <c r="J80" s="1">
        <v>4</v>
      </c>
      <c r="K80" s="1">
        <v>150000</v>
      </c>
      <c r="L80" s="1">
        <v>3</v>
      </c>
      <c r="M80" s="1">
        <v>1</v>
      </c>
      <c r="N80" t="s">
        <v>84</v>
      </c>
      <c r="O80" s="1">
        <v>0</v>
      </c>
      <c r="P80" s="1">
        <v>3</v>
      </c>
      <c r="Q80" s="1">
        <v>1</v>
      </c>
      <c r="R80" s="1">
        <v>2</v>
      </c>
      <c r="S80" s="1">
        <v>0</v>
      </c>
      <c r="T80" s="1">
        <v>0</v>
      </c>
      <c r="U80" s="1">
        <v>1</v>
      </c>
      <c r="V80" s="1">
        <v>1</v>
      </c>
      <c r="W80" s="1">
        <v>1</v>
      </c>
      <c r="X80" s="1">
        <v>0</v>
      </c>
      <c r="Y80" s="1">
        <v>1</v>
      </c>
      <c r="Z80" s="1">
        <v>1</v>
      </c>
      <c r="AA80" s="1">
        <v>0</v>
      </c>
      <c r="AB80">
        <v>0</v>
      </c>
      <c r="AC80">
        <f t="shared" si="3"/>
        <v>0</v>
      </c>
      <c r="AD80">
        <v>0</v>
      </c>
    </row>
    <row r="81" spans="1:30" x14ac:dyDescent="0.25">
      <c r="A81" s="1">
        <v>80</v>
      </c>
      <c r="B81" s="1">
        <v>29</v>
      </c>
      <c r="C81" s="1" t="str">
        <f t="shared" si="2"/>
        <v>26-35 ans</v>
      </c>
      <c r="D81" s="1">
        <v>1</v>
      </c>
      <c r="E81" s="1">
        <v>1</v>
      </c>
      <c r="F81" s="1">
        <v>2</v>
      </c>
      <c r="G81" s="1">
        <v>2</v>
      </c>
      <c r="H81" s="1">
        <v>3</v>
      </c>
      <c r="I81" s="1">
        <v>1</v>
      </c>
      <c r="J81" s="1">
        <v>5</v>
      </c>
      <c r="K81" s="1">
        <v>30000</v>
      </c>
      <c r="L81" s="1">
        <v>1</v>
      </c>
      <c r="M81" s="1">
        <v>1</v>
      </c>
      <c r="N81" t="s">
        <v>84</v>
      </c>
      <c r="O81" s="1">
        <v>1</v>
      </c>
      <c r="P81" s="1">
        <v>2</v>
      </c>
      <c r="Q81" s="1">
        <v>1</v>
      </c>
      <c r="R81" s="1">
        <v>1</v>
      </c>
      <c r="S81" s="1">
        <v>1</v>
      </c>
      <c r="T81" s="1">
        <v>1</v>
      </c>
      <c r="U81" s="1">
        <v>1</v>
      </c>
      <c r="V81" s="1">
        <v>1</v>
      </c>
      <c r="W81" s="1">
        <v>1</v>
      </c>
      <c r="X81" s="1">
        <v>1</v>
      </c>
      <c r="Y81" s="1">
        <v>4</v>
      </c>
      <c r="Z81" s="1">
        <v>0</v>
      </c>
      <c r="AA81" s="1">
        <v>0</v>
      </c>
      <c r="AB81">
        <v>1</v>
      </c>
      <c r="AC81">
        <f t="shared" si="3"/>
        <v>1</v>
      </c>
      <c r="AD81">
        <v>0</v>
      </c>
    </row>
    <row r="82" spans="1:30" hidden="1" x14ac:dyDescent="0.25">
      <c r="A82" s="1">
        <v>81</v>
      </c>
      <c r="B82" s="1">
        <v>46</v>
      </c>
      <c r="C82" s="1" t="str">
        <f t="shared" si="2"/>
        <v>46 ans et +</v>
      </c>
      <c r="D82" s="1">
        <v>1</v>
      </c>
      <c r="E82" s="1">
        <v>4</v>
      </c>
      <c r="F82" s="1">
        <v>3</v>
      </c>
      <c r="G82" s="1">
        <v>1</v>
      </c>
      <c r="H82" s="1">
        <v>2</v>
      </c>
      <c r="I82" s="1">
        <v>2</v>
      </c>
      <c r="J82" s="1">
        <v>2</v>
      </c>
      <c r="K82" s="1">
        <v>200000</v>
      </c>
      <c r="L82" s="1">
        <v>2</v>
      </c>
      <c r="M82" s="1">
        <v>0</v>
      </c>
      <c r="O82" s="1">
        <v>1</v>
      </c>
      <c r="P82" s="1">
        <v>1</v>
      </c>
      <c r="Q82" s="1">
        <v>0</v>
      </c>
      <c r="R82" s="1">
        <v>2</v>
      </c>
      <c r="S82" s="1">
        <v>1</v>
      </c>
      <c r="T82" s="1">
        <v>0</v>
      </c>
      <c r="U82" s="1">
        <v>1</v>
      </c>
      <c r="V82" s="1">
        <v>1</v>
      </c>
      <c r="W82" s="1">
        <v>1</v>
      </c>
      <c r="X82" s="1">
        <v>0</v>
      </c>
      <c r="Y82" s="1">
        <v>1</v>
      </c>
      <c r="Z82" s="1">
        <v>1</v>
      </c>
      <c r="AA82" s="1">
        <v>1</v>
      </c>
      <c r="AB82">
        <v>0</v>
      </c>
      <c r="AC82">
        <f t="shared" si="3"/>
        <v>0</v>
      </c>
      <c r="AD82">
        <v>0</v>
      </c>
    </row>
    <row r="83" spans="1:30" x14ac:dyDescent="0.25">
      <c r="A83" s="1">
        <v>82</v>
      </c>
      <c r="B83" s="1">
        <v>30</v>
      </c>
      <c r="C83" s="1" t="str">
        <f t="shared" si="2"/>
        <v>26-35 ans</v>
      </c>
      <c r="D83" s="1">
        <v>1</v>
      </c>
      <c r="E83" s="1">
        <v>2</v>
      </c>
      <c r="F83" s="1">
        <v>2</v>
      </c>
      <c r="G83" s="1">
        <v>2</v>
      </c>
      <c r="H83" s="1">
        <v>3</v>
      </c>
      <c r="I83" s="1">
        <v>2</v>
      </c>
      <c r="J83" s="1">
        <v>5</v>
      </c>
      <c r="K83" s="1">
        <v>40000</v>
      </c>
      <c r="L83" s="1">
        <v>1</v>
      </c>
      <c r="M83" s="1">
        <v>1</v>
      </c>
      <c r="N83" t="s">
        <v>83</v>
      </c>
      <c r="O83" s="1">
        <v>1</v>
      </c>
      <c r="P83" s="1">
        <v>2</v>
      </c>
      <c r="Q83" s="1">
        <v>1</v>
      </c>
      <c r="R83" s="1">
        <v>1</v>
      </c>
      <c r="S83" s="1">
        <v>0</v>
      </c>
      <c r="T83" s="1">
        <v>1</v>
      </c>
      <c r="U83" s="1">
        <v>1</v>
      </c>
      <c r="V83" s="1">
        <v>0</v>
      </c>
      <c r="W83" s="1">
        <v>1</v>
      </c>
      <c r="X83" s="1">
        <v>1</v>
      </c>
      <c r="Y83" s="1">
        <v>4</v>
      </c>
      <c r="Z83" s="1">
        <v>1</v>
      </c>
      <c r="AA83" s="1">
        <v>0</v>
      </c>
      <c r="AB83">
        <v>1</v>
      </c>
      <c r="AC83">
        <f t="shared" si="3"/>
        <v>0</v>
      </c>
      <c r="AD83">
        <v>0</v>
      </c>
    </row>
    <row r="84" spans="1:30" x14ac:dyDescent="0.25">
      <c r="A84" s="1">
        <v>83</v>
      </c>
      <c r="B84" s="1">
        <v>32</v>
      </c>
      <c r="C84" s="1" t="str">
        <f t="shared" si="2"/>
        <v>26-35 ans</v>
      </c>
      <c r="D84" s="1">
        <v>2</v>
      </c>
      <c r="E84" s="1">
        <v>2</v>
      </c>
      <c r="F84" s="1">
        <v>2</v>
      </c>
      <c r="G84" s="1">
        <v>1</v>
      </c>
      <c r="H84" s="1">
        <v>1</v>
      </c>
      <c r="I84" s="1">
        <v>1</v>
      </c>
      <c r="J84" s="1">
        <v>4</v>
      </c>
      <c r="K84" s="1">
        <v>250000</v>
      </c>
      <c r="L84" s="1">
        <v>2</v>
      </c>
      <c r="M84" s="1">
        <v>0</v>
      </c>
      <c r="O84" s="1">
        <v>1</v>
      </c>
      <c r="P84" s="1">
        <v>1</v>
      </c>
      <c r="Q84" s="1">
        <v>0</v>
      </c>
      <c r="R84" s="1">
        <v>1</v>
      </c>
      <c r="S84" s="1">
        <v>0</v>
      </c>
      <c r="T84" s="1">
        <v>1</v>
      </c>
      <c r="U84" s="1">
        <v>1</v>
      </c>
      <c r="V84" s="1">
        <v>1</v>
      </c>
      <c r="W84" s="1">
        <v>1</v>
      </c>
      <c r="X84" s="1">
        <v>0</v>
      </c>
      <c r="Y84" s="1">
        <v>3</v>
      </c>
      <c r="Z84" s="1">
        <v>1</v>
      </c>
      <c r="AA84" s="1">
        <v>0</v>
      </c>
      <c r="AB84">
        <v>1</v>
      </c>
      <c r="AC84">
        <f t="shared" si="3"/>
        <v>0</v>
      </c>
      <c r="AD84">
        <v>0</v>
      </c>
    </row>
    <row r="85" spans="1:30" hidden="1" x14ac:dyDescent="0.25">
      <c r="A85" s="1">
        <v>84</v>
      </c>
      <c r="B85" s="1">
        <v>27</v>
      </c>
      <c r="C85" s="1" t="str">
        <f t="shared" si="2"/>
        <v>26-35 ans</v>
      </c>
      <c r="D85" s="1">
        <v>1</v>
      </c>
      <c r="E85" s="1">
        <v>4</v>
      </c>
      <c r="F85" s="1">
        <v>2</v>
      </c>
      <c r="G85" s="1">
        <v>2</v>
      </c>
      <c r="H85" s="1">
        <v>1</v>
      </c>
      <c r="I85" s="1">
        <v>2</v>
      </c>
      <c r="J85" s="1">
        <v>3</v>
      </c>
      <c r="K85" s="1">
        <v>50000</v>
      </c>
      <c r="L85" s="1">
        <v>1</v>
      </c>
      <c r="M85" s="1">
        <v>1</v>
      </c>
      <c r="N85" t="s">
        <v>84</v>
      </c>
      <c r="O85" s="1">
        <v>1</v>
      </c>
      <c r="P85" s="1">
        <v>4</v>
      </c>
      <c r="Q85" s="1">
        <v>1</v>
      </c>
      <c r="R85" s="1">
        <v>2</v>
      </c>
      <c r="S85" s="1">
        <v>1</v>
      </c>
      <c r="T85" s="1">
        <v>1</v>
      </c>
      <c r="U85" s="1">
        <v>1</v>
      </c>
      <c r="V85" s="1">
        <v>1</v>
      </c>
      <c r="W85" s="1">
        <v>1</v>
      </c>
      <c r="X85" s="1">
        <v>1</v>
      </c>
      <c r="Y85" s="1">
        <v>4</v>
      </c>
      <c r="Z85" s="1">
        <v>1</v>
      </c>
      <c r="AA85" s="1">
        <v>0</v>
      </c>
      <c r="AB85">
        <v>0</v>
      </c>
      <c r="AC85">
        <f t="shared" si="3"/>
        <v>0</v>
      </c>
      <c r="AD85">
        <v>0</v>
      </c>
    </row>
    <row r="86" spans="1:30" x14ac:dyDescent="0.25">
      <c r="A86" s="1">
        <v>85</v>
      </c>
      <c r="B86" s="1">
        <v>44</v>
      </c>
      <c r="C86" s="1" t="str">
        <f t="shared" si="2"/>
        <v>36-45 ans</v>
      </c>
      <c r="D86" s="1">
        <v>2</v>
      </c>
      <c r="E86" s="1">
        <v>1</v>
      </c>
      <c r="F86" s="1">
        <v>1</v>
      </c>
      <c r="G86" s="1">
        <v>1</v>
      </c>
      <c r="H86" s="1">
        <v>2</v>
      </c>
      <c r="I86" s="1">
        <v>3</v>
      </c>
      <c r="J86" s="1">
        <v>2</v>
      </c>
      <c r="K86" s="1">
        <v>100000</v>
      </c>
      <c r="L86" s="1">
        <v>3</v>
      </c>
      <c r="M86" s="1">
        <v>1</v>
      </c>
      <c r="N86" t="s">
        <v>84</v>
      </c>
      <c r="O86" s="1">
        <v>1</v>
      </c>
      <c r="P86" s="1">
        <v>1</v>
      </c>
      <c r="Q86" s="1">
        <v>1</v>
      </c>
      <c r="R86" s="1">
        <v>1</v>
      </c>
      <c r="S86" s="1">
        <v>1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1</v>
      </c>
      <c r="Z86" s="1">
        <v>1</v>
      </c>
      <c r="AA86" s="1">
        <v>0</v>
      </c>
      <c r="AB86">
        <v>1</v>
      </c>
      <c r="AC86">
        <f t="shared" si="3"/>
        <v>0</v>
      </c>
      <c r="AD86">
        <v>0</v>
      </c>
    </row>
    <row r="87" spans="1:30" x14ac:dyDescent="0.25">
      <c r="A87" s="1">
        <v>86</v>
      </c>
      <c r="B87" s="1">
        <v>22</v>
      </c>
      <c r="C87" s="1" t="str">
        <f t="shared" si="2"/>
        <v>18-25 ans</v>
      </c>
      <c r="D87" s="1">
        <v>2</v>
      </c>
      <c r="E87" s="1">
        <v>3</v>
      </c>
      <c r="F87" s="1">
        <v>2</v>
      </c>
      <c r="G87" s="1">
        <v>1</v>
      </c>
      <c r="H87" s="1">
        <v>2</v>
      </c>
      <c r="I87" s="1">
        <v>1</v>
      </c>
      <c r="J87" s="1">
        <v>4</v>
      </c>
      <c r="K87" s="1">
        <v>300000</v>
      </c>
      <c r="L87" s="1">
        <v>1</v>
      </c>
      <c r="M87" s="1">
        <v>1</v>
      </c>
      <c r="N87" t="s">
        <v>83</v>
      </c>
      <c r="O87" s="1">
        <v>1</v>
      </c>
      <c r="P87" s="1">
        <v>1</v>
      </c>
      <c r="Q87" s="1">
        <v>0</v>
      </c>
      <c r="R87" s="1">
        <v>2</v>
      </c>
      <c r="S87" s="1">
        <v>1</v>
      </c>
      <c r="T87" s="1">
        <v>1</v>
      </c>
      <c r="U87" s="1">
        <v>1</v>
      </c>
      <c r="V87" s="1">
        <v>0</v>
      </c>
      <c r="W87" s="1">
        <v>1</v>
      </c>
      <c r="X87" s="1">
        <v>1</v>
      </c>
      <c r="Y87" s="1">
        <v>4</v>
      </c>
      <c r="Z87" s="1">
        <v>0</v>
      </c>
      <c r="AA87" s="1">
        <v>1</v>
      </c>
      <c r="AB87">
        <v>1</v>
      </c>
      <c r="AC87">
        <f t="shared" si="3"/>
        <v>1</v>
      </c>
      <c r="AD87">
        <v>1</v>
      </c>
    </row>
    <row r="88" spans="1:30" x14ac:dyDescent="0.25">
      <c r="A88" s="1">
        <v>87</v>
      </c>
      <c r="B88" s="1">
        <v>33</v>
      </c>
      <c r="C88" s="1" t="str">
        <f t="shared" si="2"/>
        <v>26-35 ans</v>
      </c>
      <c r="D88" s="1">
        <v>1</v>
      </c>
      <c r="E88" s="1">
        <v>1</v>
      </c>
      <c r="F88" s="1">
        <v>2</v>
      </c>
      <c r="G88" s="1">
        <v>2</v>
      </c>
      <c r="H88" s="1">
        <v>1</v>
      </c>
      <c r="I88" s="1">
        <v>1</v>
      </c>
      <c r="J88" s="1">
        <v>5</v>
      </c>
      <c r="K88" s="1">
        <v>50000</v>
      </c>
      <c r="L88" s="1">
        <v>2</v>
      </c>
      <c r="M88" s="1">
        <v>0</v>
      </c>
      <c r="O88" s="1">
        <v>1</v>
      </c>
      <c r="P88" s="1">
        <v>3</v>
      </c>
      <c r="Q88" s="1">
        <v>1</v>
      </c>
      <c r="R88" s="1">
        <v>2</v>
      </c>
      <c r="S88" s="1">
        <v>0</v>
      </c>
      <c r="T88" s="1">
        <v>1</v>
      </c>
      <c r="U88" s="1">
        <v>1</v>
      </c>
      <c r="V88" s="1">
        <v>1</v>
      </c>
      <c r="W88" s="1">
        <v>1</v>
      </c>
      <c r="X88" s="1">
        <v>1</v>
      </c>
      <c r="Y88" s="1">
        <v>4</v>
      </c>
      <c r="Z88" s="1">
        <v>0</v>
      </c>
      <c r="AA88" s="1">
        <v>0</v>
      </c>
      <c r="AB88">
        <v>1</v>
      </c>
      <c r="AC88">
        <f t="shared" si="3"/>
        <v>1</v>
      </c>
      <c r="AD88">
        <v>0</v>
      </c>
    </row>
    <row r="89" spans="1:30" x14ac:dyDescent="0.25">
      <c r="A89" s="1">
        <v>88</v>
      </c>
      <c r="B89" s="1">
        <v>38</v>
      </c>
      <c r="C89" s="1" t="str">
        <f t="shared" si="2"/>
        <v>36-45 ans</v>
      </c>
      <c r="D89" s="1">
        <v>2</v>
      </c>
      <c r="E89" s="1">
        <v>3</v>
      </c>
      <c r="F89" s="1">
        <v>2</v>
      </c>
      <c r="G89" s="1">
        <v>1</v>
      </c>
      <c r="H89" s="1">
        <v>3</v>
      </c>
      <c r="I89" s="1">
        <v>2</v>
      </c>
      <c r="J89" s="1">
        <v>2</v>
      </c>
      <c r="K89" s="1">
        <v>150000</v>
      </c>
      <c r="L89" s="1">
        <v>2</v>
      </c>
      <c r="M89" s="1">
        <v>0</v>
      </c>
      <c r="N89" t="s">
        <v>84</v>
      </c>
      <c r="O89" s="1">
        <v>0</v>
      </c>
      <c r="P89" s="1">
        <v>2</v>
      </c>
      <c r="Q89" s="1">
        <v>1</v>
      </c>
      <c r="R89" s="1">
        <v>2</v>
      </c>
      <c r="S89" s="1">
        <v>1</v>
      </c>
      <c r="T89" s="1">
        <v>1</v>
      </c>
      <c r="U89" s="1">
        <v>0</v>
      </c>
      <c r="V89" s="1">
        <v>1</v>
      </c>
      <c r="W89" s="1">
        <v>1</v>
      </c>
      <c r="X89" s="1">
        <v>1</v>
      </c>
      <c r="Y89" s="1">
        <v>4</v>
      </c>
      <c r="Z89" s="1">
        <v>1</v>
      </c>
      <c r="AA89" s="1">
        <v>0</v>
      </c>
      <c r="AB89">
        <v>1</v>
      </c>
      <c r="AC89">
        <f t="shared" si="3"/>
        <v>0</v>
      </c>
      <c r="AD89">
        <v>0</v>
      </c>
    </row>
    <row r="90" spans="1:30" hidden="1" x14ac:dyDescent="0.25">
      <c r="A90" s="1">
        <v>89</v>
      </c>
      <c r="B90" s="1">
        <v>43</v>
      </c>
      <c r="C90" s="1" t="str">
        <f t="shared" si="2"/>
        <v>36-45 ans</v>
      </c>
      <c r="D90" s="1">
        <v>3</v>
      </c>
      <c r="E90" s="1">
        <v>1</v>
      </c>
      <c r="F90" s="1">
        <v>3</v>
      </c>
      <c r="G90" s="1">
        <v>1</v>
      </c>
      <c r="H90" s="1">
        <v>3</v>
      </c>
      <c r="I90" s="1">
        <v>2</v>
      </c>
      <c r="J90" s="1">
        <v>1</v>
      </c>
      <c r="K90" s="1">
        <v>250000</v>
      </c>
      <c r="L90" s="1">
        <v>1</v>
      </c>
      <c r="M90" s="1">
        <v>1</v>
      </c>
      <c r="N90" t="s">
        <v>84</v>
      </c>
      <c r="O90" s="1">
        <v>1</v>
      </c>
      <c r="P90" s="1">
        <v>2</v>
      </c>
      <c r="Q90" s="1">
        <v>1</v>
      </c>
      <c r="R90" s="1">
        <v>1</v>
      </c>
      <c r="S90" s="1">
        <v>0</v>
      </c>
      <c r="T90" s="1">
        <v>0</v>
      </c>
      <c r="U90" s="1">
        <v>1</v>
      </c>
      <c r="V90" s="1">
        <v>1</v>
      </c>
      <c r="W90" s="1">
        <v>1</v>
      </c>
      <c r="X90" s="1">
        <v>1</v>
      </c>
      <c r="Y90" s="1">
        <v>4</v>
      </c>
      <c r="Z90" s="1">
        <v>1</v>
      </c>
      <c r="AA90" s="1">
        <v>0</v>
      </c>
      <c r="AB90">
        <v>0</v>
      </c>
      <c r="AC90">
        <f t="shared" si="3"/>
        <v>0</v>
      </c>
      <c r="AD90">
        <v>0</v>
      </c>
    </row>
    <row r="91" spans="1:30" hidden="1" x14ac:dyDescent="0.25">
      <c r="A91" s="1">
        <v>90</v>
      </c>
      <c r="B91" s="1">
        <v>27</v>
      </c>
      <c r="C91" s="1" t="str">
        <f t="shared" si="2"/>
        <v>26-35 ans</v>
      </c>
      <c r="D91" s="1">
        <v>1</v>
      </c>
      <c r="E91" s="1">
        <v>3</v>
      </c>
      <c r="F91" s="1">
        <v>1</v>
      </c>
      <c r="G91" s="1">
        <v>1</v>
      </c>
      <c r="H91" s="1">
        <v>2</v>
      </c>
      <c r="I91" s="1">
        <v>1</v>
      </c>
      <c r="J91" s="1">
        <v>5</v>
      </c>
      <c r="K91" s="1">
        <v>200000</v>
      </c>
      <c r="L91" s="1">
        <v>2</v>
      </c>
      <c r="M91" s="1">
        <v>1</v>
      </c>
      <c r="N91" t="s">
        <v>84</v>
      </c>
      <c r="O91" s="1">
        <v>1</v>
      </c>
      <c r="P91" s="1">
        <v>1</v>
      </c>
      <c r="Q91" s="1">
        <v>0</v>
      </c>
      <c r="R91" s="1">
        <v>1</v>
      </c>
      <c r="S91" s="1">
        <v>1</v>
      </c>
      <c r="T91" s="1">
        <v>1</v>
      </c>
      <c r="U91" s="1">
        <v>1</v>
      </c>
      <c r="V91" s="1">
        <v>1</v>
      </c>
      <c r="W91" s="1">
        <v>1</v>
      </c>
      <c r="X91" s="1">
        <v>1</v>
      </c>
      <c r="Y91" s="1">
        <v>4</v>
      </c>
      <c r="Z91" s="1">
        <v>1</v>
      </c>
      <c r="AA91" s="1">
        <v>0</v>
      </c>
      <c r="AB91">
        <v>0</v>
      </c>
      <c r="AC91">
        <f t="shared" si="3"/>
        <v>0</v>
      </c>
      <c r="AD91">
        <v>0</v>
      </c>
    </row>
    <row r="92" spans="1:30" x14ac:dyDescent="0.25">
      <c r="A92" s="1">
        <v>91</v>
      </c>
      <c r="B92" s="1">
        <v>35</v>
      </c>
      <c r="C92" s="1" t="str">
        <f t="shared" si="2"/>
        <v>26-35 ans</v>
      </c>
      <c r="D92" s="1">
        <v>1</v>
      </c>
      <c r="E92" s="1">
        <v>1</v>
      </c>
      <c r="F92" s="1">
        <v>2</v>
      </c>
      <c r="G92" s="1">
        <v>2</v>
      </c>
      <c r="H92" s="1">
        <v>3</v>
      </c>
      <c r="I92" s="1">
        <v>2</v>
      </c>
      <c r="J92" s="1">
        <v>5</v>
      </c>
      <c r="K92" s="1">
        <v>50000</v>
      </c>
      <c r="L92" s="1">
        <v>2</v>
      </c>
      <c r="M92" s="1">
        <v>0</v>
      </c>
      <c r="O92" s="1">
        <v>1</v>
      </c>
      <c r="P92" s="1">
        <v>2</v>
      </c>
      <c r="Q92" s="1">
        <v>0</v>
      </c>
      <c r="R92" s="1">
        <v>2</v>
      </c>
      <c r="S92" s="1">
        <v>1</v>
      </c>
      <c r="T92" s="1">
        <v>0</v>
      </c>
      <c r="U92" s="1">
        <v>1</v>
      </c>
      <c r="V92" s="1">
        <v>1</v>
      </c>
      <c r="W92" s="1">
        <v>0</v>
      </c>
      <c r="X92" s="1">
        <v>0</v>
      </c>
      <c r="Y92" s="1">
        <v>3</v>
      </c>
      <c r="Z92" s="1">
        <v>0</v>
      </c>
      <c r="AA92" s="1">
        <v>0</v>
      </c>
      <c r="AB92">
        <v>1</v>
      </c>
      <c r="AC92">
        <f t="shared" si="3"/>
        <v>1</v>
      </c>
      <c r="AD92">
        <v>0</v>
      </c>
    </row>
    <row r="93" spans="1:30" hidden="1" x14ac:dyDescent="0.25">
      <c r="A93" s="1">
        <v>92</v>
      </c>
      <c r="B93" s="1">
        <v>29</v>
      </c>
      <c r="C93" s="1" t="str">
        <f t="shared" si="2"/>
        <v>26-35 ans</v>
      </c>
      <c r="D93" s="1">
        <v>1</v>
      </c>
      <c r="E93" s="1">
        <v>2</v>
      </c>
      <c r="F93" s="1">
        <v>3</v>
      </c>
      <c r="G93" s="1">
        <v>1</v>
      </c>
      <c r="H93" s="1">
        <v>4</v>
      </c>
      <c r="I93" s="1">
        <v>1</v>
      </c>
      <c r="J93" s="1">
        <v>4</v>
      </c>
      <c r="K93" s="1">
        <v>100000</v>
      </c>
      <c r="L93" s="1">
        <v>1</v>
      </c>
      <c r="M93" s="1">
        <v>1</v>
      </c>
      <c r="N93" t="s">
        <v>84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  <c r="T93" s="1">
        <v>1</v>
      </c>
      <c r="U93" s="1">
        <v>1</v>
      </c>
      <c r="V93" s="1">
        <v>1</v>
      </c>
      <c r="W93" s="1">
        <v>0</v>
      </c>
      <c r="X93" s="1">
        <v>0</v>
      </c>
      <c r="Y93" s="1">
        <v>2</v>
      </c>
      <c r="Z93" s="1">
        <v>1</v>
      </c>
      <c r="AA93" s="1">
        <v>0</v>
      </c>
      <c r="AB93">
        <v>0</v>
      </c>
      <c r="AC93">
        <f t="shared" si="3"/>
        <v>0</v>
      </c>
      <c r="AD93">
        <v>0</v>
      </c>
    </row>
    <row r="94" spans="1:30" x14ac:dyDescent="0.25">
      <c r="A94" s="1">
        <v>93</v>
      </c>
      <c r="B94" s="1">
        <v>30</v>
      </c>
      <c r="C94" s="1" t="str">
        <f t="shared" si="2"/>
        <v>26-35 ans</v>
      </c>
      <c r="D94" s="1">
        <v>2</v>
      </c>
      <c r="E94" s="1">
        <v>3</v>
      </c>
      <c r="F94" s="1">
        <v>2</v>
      </c>
      <c r="G94" s="1">
        <v>2</v>
      </c>
      <c r="H94" s="1">
        <v>2</v>
      </c>
      <c r="I94" s="1">
        <v>2</v>
      </c>
      <c r="J94" s="1">
        <v>5</v>
      </c>
      <c r="K94" s="1">
        <v>40000</v>
      </c>
      <c r="L94" s="1">
        <v>1</v>
      </c>
      <c r="M94" s="1">
        <v>1</v>
      </c>
      <c r="N94" t="s">
        <v>83</v>
      </c>
      <c r="O94" s="1">
        <v>1</v>
      </c>
      <c r="P94" s="1">
        <v>3</v>
      </c>
      <c r="Q94" s="1">
        <v>1</v>
      </c>
      <c r="R94" s="1">
        <v>2</v>
      </c>
      <c r="S94" s="1">
        <v>1</v>
      </c>
      <c r="T94" s="1">
        <v>0</v>
      </c>
      <c r="U94" s="1">
        <v>0</v>
      </c>
      <c r="V94" s="1">
        <v>1</v>
      </c>
      <c r="W94" s="1">
        <v>1</v>
      </c>
      <c r="X94" s="1">
        <v>1</v>
      </c>
      <c r="Y94" s="1">
        <v>4</v>
      </c>
      <c r="Z94" s="1">
        <v>1</v>
      </c>
      <c r="AA94" s="1">
        <v>0</v>
      </c>
      <c r="AB94">
        <v>1</v>
      </c>
      <c r="AC94">
        <f t="shared" si="3"/>
        <v>0</v>
      </c>
      <c r="AD94">
        <v>0</v>
      </c>
    </row>
    <row r="95" spans="1:30" x14ac:dyDescent="0.25">
      <c r="A95" s="1">
        <v>94</v>
      </c>
      <c r="B95" s="1">
        <v>26</v>
      </c>
      <c r="C95" s="1" t="str">
        <f t="shared" si="2"/>
        <v>26-35 ans</v>
      </c>
      <c r="D95" s="1">
        <v>1</v>
      </c>
      <c r="E95" s="1">
        <v>1</v>
      </c>
      <c r="F95" s="1">
        <v>2</v>
      </c>
      <c r="G95" s="1">
        <v>1</v>
      </c>
      <c r="H95" s="1">
        <v>1</v>
      </c>
      <c r="I95" s="1">
        <v>1</v>
      </c>
      <c r="J95" s="1">
        <v>1</v>
      </c>
      <c r="K95" s="1">
        <v>150000</v>
      </c>
      <c r="L95" s="1">
        <v>1</v>
      </c>
      <c r="M95" s="1">
        <v>1</v>
      </c>
      <c r="N95" t="s">
        <v>84</v>
      </c>
      <c r="O95" s="1">
        <v>1</v>
      </c>
      <c r="P95" s="1">
        <v>1</v>
      </c>
      <c r="Q95" s="1">
        <v>0</v>
      </c>
      <c r="R95" s="1">
        <v>3</v>
      </c>
      <c r="S95" s="1">
        <v>0</v>
      </c>
      <c r="T95" s="1">
        <v>0</v>
      </c>
      <c r="U95" s="1">
        <v>1</v>
      </c>
      <c r="V95" s="1">
        <v>1</v>
      </c>
      <c r="W95" s="1">
        <v>1</v>
      </c>
      <c r="X95" s="1">
        <v>1</v>
      </c>
      <c r="Y95" s="1">
        <v>4</v>
      </c>
      <c r="Z95" s="1">
        <v>1</v>
      </c>
      <c r="AA95" s="1">
        <v>0</v>
      </c>
      <c r="AB95">
        <v>1</v>
      </c>
      <c r="AC95">
        <f t="shared" si="3"/>
        <v>0</v>
      </c>
      <c r="AD95">
        <v>0</v>
      </c>
    </row>
    <row r="96" spans="1:30" x14ac:dyDescent="0.25">
      <c r="A96" s="1">
        <v>95</v>
      </c>
      <c r="B96" s="1">
        <v>46</v>
      </c>
      <c r="C96" s="1" t="str">
        <f t="shared" si="2"/>
        <v>46 ans et +</v>
      </c>
      <c r="D96" s="1">
        <v>2</v>
      </c>
      <c r="E96" s="1">
        <v>2</v>
      </c>
      <c r="F96" s="1">
        <v>2</v>
      </c>
      <c r="G96" s="1">
        <v>1</v>
      </c>
      <c r="H96" s="1">
        <v>2</v>
      </c>
      <c r="I96" s="1">
        <v>2</v>
      </c>
      <c r="J96" s="1">
        <v>2</v>
      </c>
      <c r="K96" s="1">
        <v>200000</v>
      </c>
      <c r="L96" s="1">
        <v>2</v>
      </c>
      <c r="M96" s="1">
        <v>1</v>
      </c>
      <c r="N96" t="s">
        <v>84</v>
      </c>
      <c r="O96" s="1">
        <v>1</v>
      </c>
      <c r="P96" s="1">
        <v>2</v>
      </c>
      <c r="Q96" s="1">
        <v>1</v>
      </c>
      <c r="R96" s="1">
        <v>1</v>
      </c>
      <c r="S96" s="1">
        <v>1</v>
      </c>
      <c r="T96" s="1">
        <v>1</v>
      </c>
      <c r="U96" s="1">
        <v>1</v>
      </c>
      <c r="V96" s="1">
        <v>1</v>
      </c>
      <c r="W96" s="1">
        <v>0</v>
      </c>
      <c r="X96" s="1">
        <v>0</v>
      </c>
      <c r="Y96" s="1">
        <v>1</v>
      </c>
      <c r="Z96" s="1">
        <v>0</v>
      </c>
      <c r="AA96" s="1">
        <v>0</v>
      </c>
      <c r="AB96">
        <v>1</v>
      </c>
      <c r="AC96">
        <f t="shared" si="3"/>
        <v>1</v>
      </c>
      <c r="AD96">
        <v>0</v>
      </c>
    </row>
    <row r="97" spans="1:30" x14ac:dyDescent="0.25">
      <c r="A97" s="1">
        <v>96</v>
      </c>
      <c r="B97" s="1">
        <v>41</v>
      </c>
      <c r="C97" s="1" t="str">
        <f t="shared" si="2"/>
        <v>36-45 ans</v>
      </c>
      <c r="D97" s="1">
        <v>1</v>
      </c>
      <c r="E97" s="1">
        <v>1</v>
      </c>
      <c r="F97" s="1">
        <v>1</v>
      </c>
      <c r="G97" s="1">
        <v>2</v>
      </c>
      <c r="H97" s="1">
        <v>3</v>
      </c>
      <c r="I97" s="1">
        <v>3</v>
      </c>
      <c r="J97" s="1">
        <v>4</v>
      </c>
      <c r="K97" s="1">
        <v>30000</v>
      </c>
      <c r="L97" s="1">
        <v>3</v>
      </c>
      <c r="M97" s="1">
        <v>1</v>
      </c>
      <c r="N97" t="s">
        <v>83</v>
      </c>
      <c r="O97" s="1">
        <v>1</v>
      </c>
      <c r="P97" s="1">
        <v>1</v>
      </c>
      <c r="Q97" s="1">
        <v>0</v>
      </c>
      <c r="R97" s="1">
        <v>2</v>
      </c>
      <c r="S97" s="1">
        <v>1</v>
      </c>
      <c r="T97" s="1">
        <v>0</v>
      </c>
      <c r="U97" s="1">
        <v>0</v>
      </c>
      <c r="V97" s="1">
        <v>1</v>
      </c>
      <c r="W97" s="1">
        <v>1</v>
      </c>
      <c r="X97" s="1">
        <v>1</v>
      </c>
      <c r="Y97" s="1">
        <v>4</v>
      </c>
      <c r="Z97" s="1">
        <v>1</v>
      </c>
      <c r="AA97" s="1">
        <v>0</v>
      </c>
      <c r="AB97">
        <v>1</v>
      </c>
      <c r="AC97">
        <f t="shared" si="3"/>
        <v>0</v>
      </c>
      <c r="AD97">
        <v>0</v>
      </c>
    </row>
    <row r="98" spans="1:30" hidden="1" x14ac:dyDescent="0.25">
      <c r="A98" s="1">
        <v>97</v>
      </c>
      <c r="B98" s="1">
        <v>39</v>
      </c>
      <c r="C98" s="1" t="str">
        <f t="shared" si="2"/>
        <v>36-45 ans</v>
      </c>
      <c r="D98" s="1">
        <v>1</v>
      </c>
      <c r="E98" s="1">
        <v>3</v>
      </c>
      <c r="F98" s="1">
        <v>2</v>
      </c>
      <c r="G98" s="1">
        <v>1</v>
      </c>
      <c r="H98" s="1">
        <v>3</v>
      </c>
      <c r="I98" s="1">
        <v>1</v>
      </c>
      <c r="J98" s="1">
        <v>2</v>
      </c>
      <c r="K98" s="1">
        <v>250000</v>
      </c>
      <c r="L98" s="1">
        <v>1</v>
      </c>
      <c r="M98" s="1">
        <v>0</v>
      </c>
      <c r="O98" s="1">
        <v>1</v>
      </c>
      <c r="P98" s="1">
        <v>3</v>
      </c>
      <c r="Q98" s="1">
        <v>1</v>
      </c>
      <c r="R98" s="1">
        <v>1</v>
      </c>
      <c r="S98" s="1">
        <v>1</v>
      </c>
      <c r="T98" s="1">
        <v>1</v>
      </c>
      <c r="U98" s="1">
        <v>1</v>
      </c>
      <c r="V98" s="1">
        <v>1</v>
      </c>
      <c r="W98" s="1">
        <v>0</v>
      </c>
      <c r="X98" s="1">
        <v>0</v>
      </c>
      <c r="Y98" s="1">
        <v>1</v>
      </c>
      <c r="Z98" s="1">
        <v>0</v>
      </c>
      <c r="AA98" s="1">
        <v>0</v>
      </c>
      <c r="AB98">
        <v>0</v>
      </c>
      <c r="AC98">
        <f t="shared" si="3"/>
        <v>1</v>
      </c>
      <c r="AD98">
        <v>0</v>
      </c>
    </row>
    <row r="99" spans="1:30" x14ac:dyDescent="0.25">
      <c r="A99" s="1">
        <v>98</v>
      </c>
      <c r="B99" s="1">
        <v>28</v>
      </c>
      <c r="C99" s="1" t="str">
        <f t="shared" si="2"/>
        <v>26-35 ans</v>
      </c>
      <c r="D99" s="1">
        <v>3</v>
      </c>
      <c r="E99" s="1">
        <v>1</v>
      </c>
      <c r="F99" s="1">
        <v>1</v>
      </c>
      <c r="G99" s="1">
        <v>2</v>
      </c>
      <c r="H99" s="1">
        <v>2</v>
      </c>
      <c r="I99" s="1">
        <v>1</v>
      </c>
      <c r="J99" s="1">
        <v>5</v>
      </c>
      <c r="K99" s="1">
        <v>50000</v>
      </c>
      <c r="L99" s="1">
        <v>2</v>
      </c>
      <c r="M99" s="1">
        <v>1</v>
      </c>
      <c r="N99" t="s">
        <v>84</v>
      </c>
      <c r="O99" s="1">
        <v>1</v>
      </c>
      <c r="P99" s="1">
        <v>1</v>
      </c>
      <c r="Q99" s="1">
        <v>1</v>
      </c>
      <c r="R99" s="1">
        <v>2</v>
      </c>
      <c r="S99" s="1">
        <v>0</v>
      </c>
      <c r="T99" s="1">
        <v>0</v>
      </c>
      <c r="U99" s="1">
        <v>1</v>
      </c>
      <c r="V99" s="1">
        <v>1</v>
      </c>
      <c r="W99" s="1">
        <v>1</v>
      </c>
      <c r="X99" s="1">
        <v>1</v>
      </c>
      <c r="Y99" s="1">
        <v>4</v>
      </c>
      <c r="Z99" s="1">
        <v>1</v>
      </c>
      <c r="AA99" s="1">
        <v>0</v>
      </c>
      <c r="AB99">
        <v>1</v>
      </c>
      <c r="AC99">
        <f t="shared" si="3"/>
        <v>0</v>
      </c>
      <c r="AD99">
        <v>0</v>
      </c>
    </row>
    <row r="100" spans="1:30" x14ac:dyDescent="0.25">
      <c r="A100" s="1">
        <v>99</v>
      </c>
      <c r="B100" s="1">
        <v>25</v>
      </c>
      <c r="C100" s="1" t="str">
        <f t="shared" si="2"/>
        <v>18-25 ans</v>
      </c>
      <c r="D100" s="1">
        <v>2</v>
      </c>
      <c r="E100" s="1">
        <v>2</v>
      </c>
      <c r="F100" s="1">
        <v>2</v>
      </c>
      <c r="G100" s="1">
        <v>1</v>
      </c>
      <c r="H100" s="1">
        <v>1</v>
      </c>
      <c r="I100" s="1">
        <v>1</v>
      </c>
      <c r="J100" s="1">
        <v>3</v>
      </c>
      <c r="K100" s="1">
        <v>200000</v>
      </c>
      <c r="L100" s="1">
        <v>1</v>
      </c>
      <c r="M100" s="1">
        <v>1</v>
      </c>
      <c r="N100" t="s">
        <v>84</v>
      </c>
      <c r="O100" s="1">
        <v>1</v>
      </c>
      <c r="P100" s="1">
        <v>4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1</v>
      </c>
      <c r="W100" s="1">
        <v>0</v>
      </c>
      <c r="X100" s="1">
        <v>0</v>
      </c>
      <c r="Y100" s="1">
        <v>3</v>
      </c>
      <c r="Z100" s="1">
        <v>1</v>
      </c>
      <c r="AA100" s="1">
        <v>0</v>
      </c>
      <c r="AB100">
        <v>1</v>
      </c>
      <c r="AC100">
        <f t="shared" si="3"/>
        <v>0</v>
      </c>
      <c r="AD100">
        <v>0</v>
      </c>
    </row>
    <row r="101" spans="1:30" x14ac:dyDescent="0.25">
      <c r="A101" s="1">
        <v>100</v>
      </c>
      <c r="B101" s="1">
        <v>36</v>
      </c>
      <c r="C101" s="1" t="str">
        <f t="shared" si="2"/>
        <v>36-45 ans</v>
      </c>
      <c r="D101" s="1">
        <v>1</v>
      </c>
      <c r="E101" s="1">
        <v>1</v>
      </c>
      <c r="F101" s="1">
        <v>2</v>
      </c>
      <c r="G101" s="1">
        <v>2</v>
      </c>
      <c r="H101" s="1">
        <v>3</v>
      </c>
      <c r="I101" s="1">
        <v>2</v>
      </c>
      <c r="J101" s="1">
        <v>5</v>
      </c>
      <c r="K101" s="1">
        <v>40000</v>
      </c>
      <c r="L101" s="1">
        <v>1</v>
      </c>
      <c r="M101" s="1">
        <v>1</v>
      </c>
      <c r="N101" t="s">
        <v>84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>
        <v>1</v>
      </c>
      <c r="U101" s="1">
        <v>0</v>
      </c>
      <c r="V101" s="1">
        <v>1</v>
      </c>
      <c r="W101" s="1">
        <v>1</v>
      </c>
      <c r="X101" s="1">
        <v>1</v>
      </c>
      <c r="Y101" s="1">
        <v>4</v>
      </c>
      <c r="Z101" s="1">
        <v>1</v>
      </c>
      <c r="AA101" s="1">
        <v>0</v>
      </c>
      <c r="AB101">
        <v>1</v>
      </c>
      <c r="AC101">
        <f t="shared" si="3"/>
        <v>0</v>
      </c>
      <c r="AD101">
        <v>0</v>
      </c>
    </row>
    <row r="102" spans="1:30" x14ac:dyDescent="0.25">
      <c r="AD102">
        <v>0</v>
      </c>
    </row>
    <row r="103" spans="1:30" x14ac:dyDescent="0.25">
      <c r="AD103">
        <v>0</v>
      </c>
    </row>
  </sheetData>
  <autoFilter ref="A1:AD103" xr:uid="{00000000-0001-0000-0000-000000000000}">
    <filterColumn colId="27">
      <filters blank="1">
        <filter val="1"/>
      </filters>
    </filterColumn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C4D4D-2D6A-4719-8205-836A22202BEC}">
  <dimension ref="A1:E49"/>
  <sheetViews>
    <sheetView workbookViewId="0">
      <selection activeCell="C80" sqref="C80"/>
    </sheetView>
  </sheetViews>
  <sheetFormatPr baseColWidth="10" defaultRowHeight="15" x14ac:dyDescent="0.25"/>
  <cols>
    <col min="1" max="1" width="21.28515625" customWidth="1"/>
  </cols>
  <sheetData>
    <row r="1" spans="1:4" x14ac:dyDescent="0.25">
      <c r="A1" s="125"/>
      <c r="B1" s="125"/>
      <c r="C1" s="126"/>
      <c r="D1" s="126"/>
    </row>
    <row r="2" spans="1:4" ht="28.5" x14ac:dyDescent="0.25">
      <c r="A2" s="127" t="s">
        <v>65</v>
      </c>
      <c r="B2" s="128"/>
      <c r="C2" s="93" t="s">
        <v>44</v>
      </c>
      <c r="D2" s="93" t="s">
        <v>45</v>
      </c>
    </row>
    <row r="3" spans="1:4" x14ac:dyDescent="0.25">
      <c r="A3" s="129" t="s">
        <v>143</v>
      </c>
      <c r="B3" s="42" t="s">
        <v>115</v>
      </c>
      <c r="C3" s="43">
        <v>33</v>
      </c>
      <c r="D3" s="44">
        <v>0.33</v>
      </c>
    </row>
    <row r="4" spans="1:4" x14ac:dyDescent="0.25">
      <c r="A4" s="129"/>
      <c r="B4" s="42" t="s">
        <v>116</v>
      </c>
      <c r="C4" s="43">
        <v>67</v>
      </c>
      <c r="D4" s="44">
        <v>0.67</v>
      </c>
    </row>
    <row r="5" spans="1:4" x14ac:dyDescent="0.25">
      <c r="A5" s="129"/>
      <c r="B5" s="42" t="s">
        <v>63</v>
      </c>
      <c r="C5" s="43">
        <v>100</v>
      </c>
      <c r="D5" s="44">
        <v>1</v>
      </c>
    </row>
    <row r="8" spans="1:4" x14ac:dyDescent="0.25">
      <c r="A8" s="125"/>
      <c r="B8" s="125"/>
      <c r="C8" s="126"/>
      <c r="D8" s="126"/>
    </row>
    <row r="9" spans="1:4" ht="28.5" x14ac:dyDescent="0.25">
      <c r="A9" s="127" t="s">
        <v>65</v>
      </c>
      <c r="B9" s="128"/>
      <c r="C9" s="93" t="s">
        <v>44</v>
      </c>
      <c r="D9" s="93" t="s">
        <v>45</v>
      </c>
    </row>
    <row r="10" spans="1:4" x14ac:dyDescent="0.25">
      <c r="A10" s="129" t="s">
        <v>144</v>
      </c>
      <c r="B10" s="42" t="s">
        <v>115</v>
      </c>
      <c r="C10" s="57">
        <v>70</v>
      </c>
      <c r="D10" s="44">
        <v>0.7</v>
      </c>
    </row>
    <row r="11" spans="1:4" x14ac:dyDescent="0.25">
      <c r="A11" s="129"/>
      <c r="B11" s="42" t="s">
        <v>116</v>
      </c>
      <c r="C11" s="57">
        <v>30</v>
      </c>
      <c r="D11" s="44">
        <v>0.3</v>
      </c>
    </row>
    <row r="12" spans="1:4" x14ac:dyDescent="0.25">
      <c r="A12" s="129"/>
      <c r="B12" s="42" t="s">
        <v>63</v>
      </c>
      <c r="C12" s="57">
        <v>100</v>
      </c>
      <c r="D12" s="44">
        <v>1</v>
      </c>
    </row>
    <row r="15" spans="1:4" x14ac:dyDescent="0.25">
      <c r="A15" s="125"/>
      <c r="B15" s="125"/>
      <c r="C15" s="126"/>
      <c r="D15" s="126"/>
    </row>
    <row r="16" spans="1:4" ht="28.5" x14ac:dyDescent="0.25">
      <c r="A16" s="127" t="s">
        <v>65</v>
      </c>
      <c r="B16" s="128"/>
      <c r="C16" s="93" t="s">
        <v>44</v>
      </c>
      <c r="D16" s="93" t="s">
        <v>45</v>
      </c>
    </row>
    <row r="17" spans="1:4" x14ac:dyDescent="0.25">
      <c r="A17" s="129" t="s">
        <v>145</v>
      </c>
      <c r="B17" s="42" t="s">
        <v>115</v>
      </c>
      <c r="C17" s="97">
        <v>86</v>
      </c>
      <c r="D17" s="100">
        <v>0.88</v>
      </c>
    </row>
    <row r="18" spans="1:4" x14ac:dyDescent="0.25">
      <c r="A18" s="129"/>
      <c r="B18" s="42" t="s">
        <v>116</v>
      </c>
      <c r="C18" s="98">
        <v>14</v>
      </c>
      <c r="D18" s="101">
        <v>0.14000000000000001</v>
      </c>
    </row>
    <row r="19" spans="1:4" x14ac:dyDescent="0.25">
      <c r="A19" s="129"/>
      <c r="B19" s="42" t="s">
        <v>63</v>
      </c>
      <c r="C19" s="99">
        <v>100</v>
      </c>
      <c r="D19" s="102">
        <v>1</v>
      </c>
    </row>
    <row r="21" spans="1:4" x14ac:dyDescent="0.25">
      <c r="A21" s="130" t="s">
        <v>146</v>
      </c>
      <c r="B21" s="130"/>
      <c r="C21" s="130"/>
      <c r="D21" s="130"/>
    </row>
    <row r="22" spans="1:4" ht="30" x14ac:dyDescent="0.25">
      <c r="A22" s="61" t="s">
        <v>65</v>
      </c>
      <c r="B22" s="61"/>
      <c r="C22" s="42" t="s">
        <v>44</v>
      </c>
      <c r="D22" s="42" t="s">
        <v>45</v>
      </c>
    </row>
    <row r="23" spans="1:4" ht="24" customHeight="1" x14ac:dyDescent="0.25">
      <c r="A23" s="62"/>
      <c r="B23" s="48" t="s">
        <v>147</v>
      </c>
      <c r="C23" s="49">
        <v>18</v>
      </c>
      <c r="D23" s="58">
        <v>0.18</v>
      </c>
    </row>
    <row r="24" spans="1:4" ht="36" customHeight="1" x14ac:dyDescent="0.25">
      <c r="A24" s="63"/>
      <c r="B24" s="51" t="s">
        <v>148</v>
      </c>
      <c r="C24" s="52">
        <v>31</v>
      </c>
      <c r="D24" s="59">
        <v>0.31</v>
      </c>
    </row>
    <row r="25" spans="1:4" ht="48" customHeight="1" x14ac:dyDescent="0.25">
      <c r="A25" s="63"/>
      <c r="B25" s="51" t="s">
        <v>149</v>
      </c>
      <c r="C25" s="52">
        <v>42</v>
      </c>
      <c r="D25" s="59">
        <v>0.42</v>
      </c>
    </row>
    <row r="26" spans="1:4" x14ac:dyDescent="0.25">
      <c r="A26" s="63"/>
      <c r="B26" s="51" t="s">
        <v>150</v>
      </c>
      <c r="C26" s="52">
        <v>9</v>
      </c>
      <c r="D26" s="59">
        <v>0.09</v>
      </c>
    </row>
    <row r="27" spans="1:4" x14ac:dyDescent="0.25">
      <c r="A27" s="64"/>
      <c r="B27" s="54" t="s">
        <v>63</v>
      </c>
      <c r="C27" s="55">
        <v>100</v>
      </c>
      <c r="D27" s="60">
        <v>1</v>
      </c>
    </row>
    <row r="33" spans="1:5" ht="15" customHeight="1" x14ac:dyDescent="0.25">
      <c r="A33" s="130"/>
      <c r="B33" s="130"/>
      <c r="C33" s="130"/>
      <c r="D33" s="130"/>
      <c r="E33" s="45"/>
    </row>
    <row r="34" spans="1:5" x14ac:dyDescent="0.25">
      <c r="A34" s="131"/>
      <c r="B34" s="131"/>
      <c r="C34" s="46"/>
      <c r="D34" s="47"/>
      <c r="E34" s="45"/>
    </row>
    <row r="35" spans="1:5" x14ac:dyDescent="0.25">
      <c r="A35" s="132"/>
      <c r="B35" s="48"/>
      <c r="C35" s="49"/>
      <c r="D35" s="50"/>
      <c r="E35" s="45"/>
    </row>
    <row r="36" spans="1:5" x14ac:dyDescent="0.25">
      <c r="A36" s="133"/>
      <c r="B36" s="51"/>
      <c r="C36" s="52"/>
      <c r="D36" s="53"/>
      <c r="E36" s="45"/>
    </row>
    <row r="37" spans="1:5" x14ac:dyDescent="0.25">
      <c r="A37" s="134"/>
      <c r="B37" s="54"/>
      <c r="C37" s="55"/>
      <c r="D37" s="56"/>
      <c r="E37" s="45"/>
    </row>
    <row r="38" spans="1:5" x14ac:dyDescent="0.25">
      <c r="A38" s="45"/>
      <c r="B38" s="45"/>
      <c r="C38" s="45"/>
      <c r="D38" s="45"/>
      <c r="E38" s="45"/>
    </row>
    <row r="39" spans="1:5" x14ac:dyDescent="0.25">
      <c r="A39" s="125"/>
      <c r="B39" s="125"/>
      <c r="C39" s="126"/>
      <c r="D39" s="126"/>
      <c r="E39" s="45"/>
    </row>
    <row r="40" spans="1:5" ht="28.5" x14ac:dyDescent="0.25">
      <c r="A40" s="127" t="s">
        <v>65</v>
      </c>
      <c r="B40" s="128"/>
      <c r="C40" s="93" t="s">
        <v>44</v>
      </c>
      <c r="D40" s="93" t="s">
        <v>45</v>
      </c>
      <c r="E40" s="45"/>
    </row>
    <row r="41" spans="1:5" x14ac:dyDescent="0.25">
      <c r="A41" s="129" t="s">
        <v>151</v>
      </c>
      <c r="B41" s="42" t="s">
        <v>115</v>
      </c>
      <c r="C41" s="95">
        <v>93</v>
      </c>
      <c r="D41" s="96">
        <v>0.93</v>
      </c>
      <c r="E41" s="45"/>
    </row>
    <row r="42" spans="1:5" x14ac:dyDescent="0.25">
      <c r="A42" s="129"/>
      <c r="B42" s="42" t="s">
        <v>116</v>
      </c>
      <c r="C42" s="95">
        <v>7</v>
      </c>
      <c r="D42" s="96">
        <v>7.0000000000000007E-2</v>
      </c>
      <c r="E42" s="45"/>
    </row>
    <row r="43" spans="1:5" x14ac:dyDescent="0.25">
      <c r="A43" s="129"/>
      <c r="B43" s="42" t="s">
        <v>63</v>
      </c>
      <c r="C43" s="95">
        <v>100</v>
      </c>
      <c r="D43" s="96">
        <v>1</v>
      </c>
      <c r="E43" s="45"/>
    </row>
    <row r="44" spans="1:5" x14ac:dyDescent="0.25">
      <c r="A44" s="45"/>
      <c r="B44" s="45"/>
      <c r="C44" s="45"/>
      <c r="D44" s="45"/>
      <c r="E44" s="45"/>
    </row>
    <row r="45" spans="1:5" x14ac:dyDescent="0.25">
      <c r="A45" s="125"/>
      <c r="B45" s="125"/>
      <c r="C45" s="126"/>
      <c r="D45" s="126"/>
      <c r="E45" s="45"/>
    </row>
    <row r="46" spans="1:5" ht="28.5" x14ac:dyDescent="0.25">
      <c r="A46" s="127" t="s">
        <v>65</v>
      </c>
      <c r="B46" s="128"/>
      <c r="C46" s="93" t="s">
        <v>44</v>
      </c>
      <c r="D46" s="93" t="s">
        <v>45</v>
      </c>
      <c r="E46" s="45"/>
    </row>
    <row r="47" spans="1:5" x14ac:dyDescent="0.25">
      <c r="A47" s="129" t="s">
        <v>152</v>
      </c>
      <c r="B47" s="42" t="s">
        <v>115</v>
      </c>
      <c r="C47" s="65">
        <v>27</v>
      </c>
      <c r="D47" s="94">
        <v>0.27</v>
      </c>
      <c r="E47" s="45"/>
    </row>
    <row r="48" spans="1:5" x14ac:dyDescent="0.25">
      <c r="A48" s="129"/>
      <c r="B48" s="42" t="s">
        <v>116</v>
      </c>
      <c r="C48" s="65">
        <v>73</v>
      </c>
      <c r="D48" s="94">
        <v>0.73</v>
      </c>
      <c r="E48" s="45"/>
    </row>
    <row r="49" spans="1:5" x14ac:dyDescent="0.25">
      <c r="A49" s="129"/>
      <c r="B49" s="42" t="s">
        <v>63</v>
      </c>
      <c r="C49" s="65">
        <v>100</v>
      </c>
      <c r="D49" s="94">
        <v>1</v>
      </c>
      <c r="E49" s="45"/>
    </row>
  </sheetData>
  <mergeCells count="19">
    <mergeCell ref="A10:A12"/>
    <mergeCell ref="A1:D1"/>
    <mergeCell ref="A2:B2"/>
    <mergeCell ref="A3:A5"/>
    <mergeCell ref="A8:D8"/>
    <mergeCell ref="A9:B9"/>
    <mergeCell ref="A47:A49"/>
    <mergeCell ref="A33:D33"/>
    <mergeCell ref="A34:B34"/>
    <mergeCell ref="A35:A37"/>
    <mergeCell ref="A15:D15"/>
    <mergeCell ref="A16:B16"/>
    <mergeCell ref="A17:A19"/>
    <mergeCell ref="A21:D21"/>
    <mergeCell ref="A39:D39"/>
    <mergeCell ref="A40:B40"/>
    <mergeCell ref="A41:A43"/>
    <mergeCell ref="A45:D45"/>
    <mergeCell ref="A46:B46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B0A8E-A062-40A4-81D6-653B0F48CDED}">
  <dimension ref="A1:AA27"/>
  <sheetViews>
    <sheetView tabSelected="1" topLeftCell="L9" workbookViewId="0">
      <selection activeCell="T4" sqref="T4:Z13"/>
    </sheetView>
  </sheetViews>
  <sheetFormatPr baseColWidth="10" defaultRowHeight="15" x14ac:dyDescent="0.25"/>
  <cols>
    <col min="3" max="3" width="7" customWidth="1"/>
    <col min="10" max="10" width="14.140625" customWidth="1"/>
    <col min="12" max="12" width="7.42578125" customWidth="1"/>
    <col min="15" max="15" width="6" customWidth="1"/>
    <col min="17" max="17" width="9.7109375" customWidth="1"/>
    <col min="18" max="18" width="12.7109375" customWidth="1"/>
    <col min="19" max="19" width="10" customWidth="1"/>
  </cols>
  <sheetData>
    <row r="1" spans="1:27" x14ac:dyDescent="0.25">
      <c r="A1" s="66"/>
      <c r="B1" s="66"/>
    </row>
    <row r="2" spans="1:27" x14ac:dyDescent="0.25">
      <c r="A2" s="66"/>
      <c r="B2" s="66"/>
    </row>
    <row r="3" spans="1:27" ht="15.75" x14ac:dyDescent="0.25">
      <c r="A3" s="148" t="s">
        <v>65</v>
      </c>
      <c r="B3" s="148"/>
      <c r="C3" s="150" t="s">
        <v>144</v>
      </c>
      <c r="D3" s="151"/>
      <c r="E3" s="66"/>
      <c r="J3" s="147"/>
      <c r="K3" s="147"/>
      <c r="L3" s="147"/>
      <c r="M3" s="147"/>
      <c r="N3" s="147"/>
      <c r="O3" s="147"/>
      <c r="P3" s="147"/>
      <c r="Q3" s="147"/>
      <c r="R3" s="147"/>
      <c r="S3" s="66"/>
    </row>
    <row r="4" spans="1:27" ht="30" customHeight="1" x14ac:dyDescent="0.25">
      <c r="A4" s="149"/>
      <c r="B4" s="149"/>
      <c r="C4" s="67" t="s">
        <v>115</v>
      </c>
      <c r="D4" s="68" t="s">
        <v>116</v>
      </c>
      <c r="E4" s="66"/>
      <c r="J4" s="136" t="s">
        <v>158</v>
      </c>
      <c r="K4" s="136" t="s">
        <v>159</v>
      </c>
      <c r="L4" s="136" t="s">
        <v>160</v>
      </c>
      <c r="M4" s="136" t="s">
        <v>161</v>
      </c>
      <c r="N4" s="135" t="s">
        <v>125</v>
      </c>
      <c r="O4" s="135" t="s">
        <v>162</v>
      </c>
      <c r="P4" s="136" t="s">
        <v>163</v>
      </c>
      <c r="Q4" s="145" t="s">
        <v>165</v>
      </c>
      <c r="R4" s="145"/>
      <c r="S4" s="66"/>
      <c r="T4" s="136" t="s">
        <v>158</v>
      </c>
      <c r="U4" s="136" t="s">
        <v>159</v>
      </c>
      <c r="V4" s="136" t="s">
        <v>160</v>
      </c>
      <c r="W4" s="136" t="s">
        <v>161</v>
      </c>
      <c r="X4" s="135" t="s">
        <v>125</v>
      </c>
      <c r="Y4" s="135" t="s">
        <v>162</v>
      </c>
      <c r="Z4" s="136" t="s">
        <v>163</v>
      </c>
      <c r="AA4" s="66"/>
    </row>
    <row r="5" spans="1:27" ht="42.75" x14ac:dyDescent="0.25">
      <c r="A5" s="137" t="s">
        <v>143</v>
      </c>
      <c r="B5" s="69" t="s">
        <v>115</v>
      </c>
      <c r="C5" s="70">
        <v>23</v>
      </c>
      <c r="D5" s="71">
        <v>10</v>
      </c>
      <c r="E5" s="66"/>
      <c r="J5" s="136"/>
      <c r="K5" s="136"/>
      <c r="L5" s="136"/>
      <c r="M5" s="136"/>
      <c r="N5" s="135"/>
      <c r="O5" s="135"/>
      <c r="P5" s="136"/>
      <c r="Q5" s="83" t="s">
        <v>164</v>
      </c>
      <c r="R5" s="80" t="s">
        <v>166</v>
      </c>
      <c r="S5" s="66"/>
      <c r="T5" s="136"/>
      <c r="U5" s="136"/>
      <c r="V5" s="136"/>
      <c r="W5" s="136"/>
      <c r="X5" s="135"/>
      <c r="Y5" s="135"/>
      <c r="Z5" s="136"/>
      <c r="AA5" s="66"/>
    </row>
    <row r="6" spans="1:27" ht="47.25" x14ac:dyDescent="0.25">
      <c r="A6" s="138"/>
      <c r="B6" s="72" t="s">
        <v>116</v>
      </c>
      <c r="C6" s="73">
        <v>47</v>
      </c>
      <c r="D6" s="74">
        <v>20</v>
      </c>
      <c r="E6" s="66"/>
      <c r="J6" s="79" t="s">
        <v>151</v>
      </c>
      <c r="K6" s="77">
        <v>-0.74345029439180754</v>
      </c>
      <c r="L6" s="77">
        <v>0.84626023334363987</v>
      </c>
      <c r="M6" s="77">
        <v>0.7717844226589653</v>
      </c>
      <c r="N6" s="78">
        <v>1</v>
      </c>
      <c r="O6" s="77">
        <v>0.3796655923786566</v>
      </c>
      <c r="P6" s="77">
        <v>0.47547056869949239</v>
      </c>
      <c r="Q6" s="77">
        <v>9.0528562232152318E-2</v>
      </c>
      <c r="R6" s="77">
        <v>2.4972478975163304</v>
      </c>
      <c r="S6" s="66"/>
      <c r="T6" s="79" t="s">
        <v>113</v>
      </c>
      <c r="U6" s="77">
        <v>1.2873564242153464E-2</v>
      </c>
      <c r="V6" s="77">
        <v>0.32571838837931832</v>
      </c>
      <c r="W6" s="77">
        <v>1.5621151868330438E-3</v>
      </c>
      <c r="X6" s="78">
        <v>1</v>
      </c>
      <c r="Y6" s="77">
        <v>0.96847293581693872</v>
      </c>
      <c r="Z6" s="77">
        <v>1.0129567853040882</v>
      </c>
      <c r="AA6" s="66"/>
    </row>
    <row r="7" spans="1:27" ht="63" x14ac:dyDescent="0.25">
      <c r="A7" s="139" t="s">
        <v>63</v>
      </c>
      <c r="B7" s="139"/>
      <c r="C7" s="75">
        <v>70</v>
      </c>
      <c r="D7" s="76">
        <v>30</v>
      </c>
      <c r="E7" s="66"/>
      <c r="J7" s="79" t="s">
        <v>152</v>
      </c>
      <c r="K7" s="77">
        <v>0.82293681419612785</v>
      </c>
      <c r="L7" s="77">
        <v>0.48981947483447807</v>
      </c>
      <c r="M7" s="77">
        <v>2.8226750552857429</v>
      </c>
      <c r="N7" s="78">
        <v>1</v>
      </c>
      <c r="O7" s="77">
        <v>9.2941389828239837E-2</v>
      </c>
      <c r="P7" s="77">
        <v>2.277177674671405</v>
      </c>
      <c r="Q7" s="77">
        <v>0.87189025669626896</v>
      </c>
      <c r="R7" s="77">
        <v>5.9474665787305581</v>
      </c>
      <c r="S7" s="66"/>
      <c r="T7" s="79" t="s">
        <v>183</v>
      </c>
      <c r="U7" s="77">
        <v>0.62783750589147125</v>
      </c>
      <c r="V7" s="77">
        <v>0.68777100902544508</v>
      </c>
      <c r="W7" s="77">
        <v>0.83331036030185235</v>
      </c>
      <c r="X7" s="78">
        <v>1</v>
      </c>
      <c r="Y7" s="77">
        <v>0.36131704716145729</v>
      </c>
      <c r="Z7" s="77">
        <v>1.8735546444966837</v>
      </c>
      <c r="AA7" s="66"/>
    </row>
    <row r="8" spans="1:27" ht="78.75" x14ac:dyDescent="0.25">
      <c r="A8" s="66"/>
      <c r="B8" s="66"/>
      <c r="C8" s="66"/>
      <c r="D8" s="66"/>
      <c r="E8" s="66"/>
      <c r="J8" s="79" t="s">
        <v>144</v>
      </c>
      <c r="K8" s="77">
        <v>0.18718667856220936</v>
      </c>
      <c r="L8" s="77">
        <v>0.50434029671797231</v>
      </c>
      <c r="M8" s="77">
        <v>0.13775346675012345</v>
      </c>
      <c r="N8" s="78">
        <v>1</v>
      </c>
      <c r="O8" s="77">
        <v>0.71052466365552436</v>
      </c>
      <c r="P8" s="77">
        <v>1.2058523708267492</v>
      </c>
      <c r="Q8" s="77">
        <v>0.44874425613655672</v>
      </c>
      <c r="R8" s="77">
        <v>3.2403310356489619</v>
      </c>
      <c r="S8" s="66"/>
      <c r="T8" s="79" t="s">
        <v>172</v>
      </c>
      <c r="U8" s="77">
        <v>-1.2204968499098698</v>
      </c>
      <c r="V8" s="77">
        <v>0.38444763012809868</v>
      </c>
      <c r="W8" s="77">
        <v>10.078570765059354</v>
      </c>
      <c r="X8" s="78">
        <v>1</v>
      </c>
      <c r="Y8" s="77">
        <v>1.5000364177723657E-3</v>
      </c>
      <c r="Z8" s="77">
        <v>0.29508351827638762</v>
      </c>
      <c r="AA8" s="66"/>
    </row>
    <row r="9" spans="1:27" ht="31.5" customHeight="1" x14ac:dyDescent="0.25">
      <c r="A9" s="88"/>
      <c r="B9" s="141" t="s">
        <v>119</v>
      </c>
      <c r="C9" s="141"/>
      <c r="D9" s="141"/>
      <c r="E9" s="66"/>
      <c r="J9" s="79" t="s">
        <v>113</v>
      </c>
      <c r="K9" s="77">
        <v>-0.65311191338608721</v>
      </c>
      <c r="L9" s="77">
        <v>0.29242484643015043</v>
      </c>
      <c r="M9" s="77">
        <v>4.9882323040100873</v>
      </c>
      <c r="N9" s="78">
        <v>1</v>
      </c>
      <c r="O9" s="77">
        <v>2.5520266299846255E-2</v>
      </c>
      <c r="P9" s="77">
        <v>0.52042374064709451</v>
      </c>
      <c r="Q9" s="77">
        <v>0.29338953540063223</v>
      </c>
      <c r="R9" s="77">
        <v>0.92314427458795689</v>
      </c>
      <c r="S9" s="66"/>
      <c r="T9" s="79" t="s">
        <v>144</v>
      </c>
      <c r="U9" s="77">
        <v>0.13966366140690303</v>
      </c>
      <c r="V9" s="77">
        <v>0.57216957886309694</v>
      </c>
      <c r="W9" s="77">
        <v>5.9582307639082205E-2</v>
      </c>
      <c r="X9" s="78">
        <v>1</v>
      </c>
      <c r="Y9" s="77">
        <v>0.80715734225285529</v>
      </c>
      <c r="Z9" s="77">
        <v>1.1498869824403346</v>
      </c>
      <c r="AA9" s="66"/>
    </row>
    <row r="10" spans="1:27" ht="47.25" x14ac:dyDescent="0.25">
      <c r="A10" s="89"/>
      <c r="B10" s="90" t="s">
        <v>124</v>
      </c>
      <c r="C10" s="90" t="s">
        <v>125</v>
      </c>
      <c r="D10" s="90" t="s">
        <v>126</v>
      </c>
      <c r="E10" s="66"/>
      <c r="J10" s="79" t="s">
        <v>145</v>
      </c>
      <c r="K10" s="77">
        <v>7.824686714585867E-3</v>
      </c>
      <c r="L10" s="77">
        <v>0.65254693055532109</v>
      </c>
      <c r="M10" s="77">
        <v>1.437839512785746E-4</v>
      </c>
      <c r="N10" s="78">
        <v>1</v>
      </c>
      <c r="O10" s="77">
        <v>0.99043279981612109</v>
      </c>
      <c r="P10" s="77">
        <v>1.0078553795774616</v>
      </c>
      <c r="Q10" s="77">
        <v>0.2805105914938178</v>
      </c>
      <c r="R10" s="77">
        <v>3.6211554819869116</v>
      </c>
      <c r="S10" s="66"/>
      <c r="T10" s="79" t="s">
        <v>184</v>
      </c>
      <c r="U10" s="77">
        <v>-4.2143844715064951E-2</v>
      </c>
      <c r="V10" s="77">
        <v>0.48102369334850947</v>
      </c>
      <c r="W10" s="77">
        <v>7.6760071222822107E-3</v>
      </c>
      <c r="X10" s="78">
        <v>1</v>
      </c>
      <c r="Y10" s="77">
        <v>0.93018440842321015</v>
      </c>
      <c r="Z10" s="77">
        <v>0.9587318621417702</v>
      </c>
      <c r="AA10" s="66"/>
    </row>
    <row r="11" spans="1:27" ht="47.25" x14ac:dyDescent="0.25">
      <c r="A11" s="91" t="s">
        <v>120</v>
      </c>
      <c r="B11" s="92" t="s">
        <v>167</v>
      </c>
      <c r="C11" s="78">
        <v>1</v>
      </c>
      <c r="D11" s="77">
        <v>0.9629847938222027</v>
      </c>
      <c r="E11" s="66"/>
      <c r="J11" s="79" t="s">
        <v>156</v>
      </c>
      <c r="K11" s="77">
        <v>1.2545231462599076</v>
      </c>
      <c r="L11" s="77">
        <v>0.61216240409632239</v>
      </c>
      <c r="M11" s="77">
        <v>4.1997559039167598</v>
      </c>
      <c r="N11" s="78">
        <v>1</v>
      </c>
      <c r="O11" s="77">
        <v>4.0429798501384881E-2</v>
      </c>
      <c r="P11" s="77">
        <v>3.5061660472535401</v>
      </c>
      <c r="Q11" s="81"/>
      <c r="R11" s="82"/>
      <c r="S11" s="66"/>
      <c r="T11" s="79" t="s">
        <v>185</v>
      </c>
      <c r="U11" s="77">
        <v>-0.56300061040462346</v>
      </c>
      <c r="V11" s="77">
        <v>0.64326280920923518</v>
      </c>
      <c r="W11" s="77">
        <v>0.76602129927688489</v>
      </c>
      <c r="X11" s="78">
        <v>1</v>
      </c>
      <c r="Y11" s="77">
        <v>0.38145071648008977</v>
      </c>
      <c r="Z11" s="77">
        <v>0.56949765690543275</v>
      </c>
      <c r="AA11" s="66"/>
    </row>
    <row r="12" spans="1:27" ht="47.25" x14ac:dyDescent="0.25">
      <c r="A12" s="90" t="s">
        <v>121</v>
      </c>
      <c r="B12" s="77">
        <v>0</v>
      </c>
      <c r="C12" s="78">
        <v>1</v>
      </c>
      <c r="D12" s="77">
        <v>1</v>
      </c>
      <c r="E12" s="66"/>
      <c r="J12" s="146"/>
      <c r="K12" s="146"/>
      <c r="L12" s="146"/>
      <c r="M12" s="146"/>
      <c r="N12" s="146"/>
      <c r="O12" s="146"/>
      <c r="P12" s="146"/>
      <c r="Q12" s="146"/>
      <c r="R12" s="146"/>
      <c r="S12" s="66"/>
      <c r="T12" s="79" t="s">
        <v>186</v>
      </c>
      <c r="U12" s="77">
        <v>-0.9905497004917182</v>
      </c>
      <c r="V12" s="77">
        <v>0.49539369359842045</v>
      </c>
      <c r="W12" s="77">
        <v>3.9980810559516118</v>
      </c>
      <c r="X12" s="78">
        <v>1</v>
      </c>
      <c r="Y12" s="77">
        <v>4.5552097796304418E-2</v>
      </c>
      <c r="Z12" s="77">
        <v>0.37137249126177607</v>
      </c>
      <c r="AA12" s="66"/>
    </row>
    <row r="13" spans="1:27" ht="38.25" x14ac:dyDescent="0.25">
      <c r="A13" s="90" t="s">
        <v>122</v>
      </c>
      <c r="B13" s="77">
        <v>2.1516513284995098E-3</v>
      </c>
      <c r="C13" s="78">
        <v>1</v>
      </c>
      <c r="D13" s="77">
        <v>0.96300267793963434</v>
      </c>
      <c r="E13" s="66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79" t="s">
        <v>156</v>
      </c>
      <c r="U13" s="77">
        <v>4.2024255985309704</v>
      </c>
      <c r="V13" s="77">
        <v>1.8370703120424845</v>
      </c>
      <c r="W13" s="77">
        <v>5.2329731796754437</v>
      </c>
      <c r="X13" s="78">
        <v>1</v>
      </c>
      <c r="Y13" s="77">
        <v>2.216261699249715E-2</v>
      </c>
      <c r="Z13" s="77">
        <v>66.848281641700083</v>
      </c>
      <c r="AA13" s="66"/>
    </row>
    <row r="14" spans="1:27" ht="38.25" x14ac:dyDescent="0.25">
      <c r="A14" s="90" t="s">
        <v>123</v>
      </c>
      <c r="B14" s="77">
        <v>100</v>
      </c>
      <c r="C14" s="78"/>
      <c r="D14" s="77"/>
      <c r="E14" s="66"/>
      <c r="J14" s="111" t="s">
        <v>65</v>
      </c>
      <c r="K14" s="136" t="s">
        <v>158</v>
      </c>
      <c r="L14" s="136" t="s">
        <v>159</v>
      </c>
      <c r="M14" s="136" t="s">
        <v>160</v>
      </c>
      <c r="N14" s="136" t="s">
        <v>161</v>
      </c>
      <c r="O14" s="135" t="s">
        <v>125</v>
      </c>
      <c r="P14" s="135" t="s">
        <v>162</v>
      </c>
      <c r="Q14" s="136" t="s">
        <v>163</v>
      </c>
      <c r="R14" s="135" t="s">
        <v>165</v>
      </c>
      <c r="S14" s="135"/>
      <c r="T14" s="203"/>
      <c r="U14" s="203"/>
      <c r="V14" s="203"/>
      <c r="W14" s="203"/>
      <c r="X14" s="203"/>
      <c r="Y14" s="203"/>
      <c r="Z14" s="203"/>
      <c r="AA14" s="66"/>
    </row>
    <row r="15" spans="1:27" ht="30" customHeight="1" x14ac:dyDescent="0.25">
      <c r="A15" s="85" t="s">
        <v>153</v>
      </c>
      <c r="B15" s="86">
        <v>100</v>
      </c>
      <c r="C15" s="87"/>
      <c r="D15" s="87"/>
      <c r="E15" s="66"/>
      <c r="J15" s="112"/>
      <c r="K15" s="136"/>
      <c r="L15" s="136"/>
      <c r="M15" s="136"/>
      <c r="N15" s="136"/>
      <c r="O15" s="135"/>
      <c r="P15" s="135"/>
      <c r="Q15" s="136"/>
      <c r="R15" s="83" t="s">
        <v>164</v>
      </c>
      <c r="S15" s="80" t="s">
        <v>166</v>
      </c>
    </row>
    <row r="16" spans="1:27" ht="30" x14ac:dyDescent="0.25">
      <c r="A16" s="140" t="s">
        <v>154</v>
      </c>
      <c r="B16" s="140"/>
      <c r="C16" s="140"/>
      <c r="D16" s="140"/>
      <c r="E16" s="66"/>
      <c r="J16" s="137" t="s">
        <v>157</v>
      </c>
      <c r="K16" s="113" t="s">
        <v>170</v>
      </c>
      <c r="L16" s="114">
        <v>3.5408152880248837E-7</v>
      </c>
      <c r="M16" s="114">
        <v>2.9966332002464048E-6</v>
      </c>
      <c r="N16" s="114">
        <v>1.3961734328920436E-2</v>
      </c>
      <c r="O16" s="115">
        <v>1</v>
      </c>
      <c r="P16" s="114">
        <v>0.90594105514568379</v>
      </c>
      <c r="Q16" s="114">
        <v>1.0000003540815914</v>
      </c>
      <c r="R16" s="114">
        <v>0.99999448080361231</v>
      </c>
      <c r="S16" s="114">
        <v>1.0000062273940662</v>
      </c>
    </row>
    <row r="17" spans="1:19" ht="45" x14ac:dyDescent="0.25">
      <c r="A17" s="140" t="s">
        <v>155</v>
      </c>
      <c r="B17" s="140"/>
      <c r="C17" s="140"/>
      <c r="D17" s="140"/>
      <c r="E17" s="66"/>
      <c r="J17" s="138"/>
      <c r="K17" s="113" t="s">
        <v>113</v>
      </c>
      <c r="L17" s="114">
        <v>8.0283779361054852E-2</v>
      </c>
      <c r="M17" s="114">
        <v>0.30751418738344227</v>
      </c>
      <c r="N17" s="114">
        <v>6.8159328528996893E-2</v>
      </c>
      <c r="O17" s="115">
        <v>1</v>
      </c>
      <c r="P17" s="114">
        <v>0.79403589190706003</v>
      </c>
      <c r="Q17" s="114">
        <v>1.0835945258099355</v>
      </c>
      <c r="R17" s="114">
        <v>0.59307586576446847</v>
      </c>
      <c r="S17" s="114">
        <v>1.9798092691763094</v>
      </c>
    </row>
    <row r="18" spans="1:19" ht="90" x14ac:dyDescent="0.25">
      <c r="A18" s="66"/>
      <c r="B18" s="66"/>
      <c r="C18" s="66"/>
      <c r="D18" s="66"/>
      <c r="E18" s="66"/>
      <c r="J18" s="138"/>
      <c r="K18" s="113" t="s">
        <v>171</v>
      </c>
      <c r="L18" s="114">
        <v>0.34243849103819074</v>
      </c>
      <c r="M18" s="114">
        <v>0.29639674166144236</v>
      </c>
      <c r="N18" s="114">
        <v>1.3348064580469632</v>
      </c>
      <c r="O18" s="115">
        <v>1</v>
      </c>
      <c r="P18" s="114">
        <v>0.24795194059331405</v>
      </c>
      <c r="Q18" s="114">
        <v>1.4083777231463936</v>
      </c>
      <c r="R18" s="114">
        <v>0.78781778927006119</v>
      </c>
      <c r="S18" s="114">
        <v>2.5177494568798995</v>
      </c>
    </row>
    <row r="19" spans="1:19" ht="75" x14ac:dyDescent="0.25">
      <c r="A19" s="66"/>
      <c r="B19" s="66"/>
      <c r="C19" s="66"/>
      <c r="D19" s="66"/>
      <c r="E19" s="66"/>
      <c r="J19" s="138"/>
      <c r="K19" s="113" t="s">
        <v>172</v>
      </c>
      <c r="L19" s="114">
        <v>-1.1192443158776124</v>
      </c>
      <c r="M19" s="114">
        <v>0.36697127710889677</v>
      </c>
      <c r="N19" s="114">
        <v>9.3021994782050594</v>
      </c>
      <c r="O19" s="115">
        <v>1</v>
      </c>
      <c r="P19" s="114">
        <v>2.2887890757550358E-3</v>
      </c>
      <c r="Q19" s="114">
        <v>0.32652645226918742</v>
      </c>
      <c r="R19" s="114">
        <v>0.1590566577202879</v>
      </c>
      <c r="S19" s="114">
        <v>0.67032418233633273</v>
      </c>
    </row>
    <row r="20" spans="1:19" ht="15" customHeight="1" x14ac:dyDescent="0.25">
      <c r="A20" s="142" t="s">
        <v>119</v>
      </c>
      <c r="B20" s="142"/>
      <c r="C20" s="142"/>
      <c r="D20" s="142"/>
      <c r="E20" s="66"/>
      <c r="J20" s="138"/>
      <c r="K20" s="113" t="s">
        <v>144</v>
      </c>
      <c r="L20" s="114">
        <v>-8.0263025625405063E-2</v>
      </c>
      <c r="M20" s="114">
        <v>0.55563733145511485</v>
      </c>
      <c r="N20" s="114">
        <v>2.0866433246476614E-2</v>
      </c>
      <c r="O20" s="115">
        <v>1</v>
      </c>
      <c r="P20" s="114">
        <v>0.88514341258383167</v>
      </c>
      <c r="Q20" s="114">
        <v>0.92287357506124523</v>
      </c>
      <c r="R20" s="114">
        <v>0.31058670179789549</v>
      </c>
      <c r="S20" s="114">
        <v>2.7422153962681182</v>
      </c>
    </row>
    <row r="21" spans="1:19" ht="38.25" x14ac:dyDescent="0.25">
      <c r="A21" s="105"/>
      <c r="B21" s="103" t="s">
        <v>124</v>
      </c>
      <c r="C21" s="103" t="s">
        <v>125</v>
      </c>
      <c r="D21" s="103" t="s">
        <v>126</v>
      </c>
      <c r="E21" s="66"/>
      <c r="J21" s="139"/>
      <c r="K21" s="113" t="s">
        <v>156</v>
      </c>
      <c r="L21" s="114">
        <v>1.9369127255028373</v>
      </c>
      <c r="M21" s="114">
        <v>1.0149632394255728</v>
      </c>
      <c r="N21" s="114">
        <v>3.6418284054191115</v>
      </c>
      <c r="O21" s="115">
        <v>1</v>
      </c>
      <c r="P21" s="114">
        <v>5.6345023974941677E-2</v>
      </c>
      <c r="Q21" s="114">
        <v>6.9373005249779212</v>
      </c>
      <c r="R21" s="116"/>
      <c r="S21" s="117"/>
    </row>
    <row r="22" spans="1:19" ht="47.25" x14ac:dyDescent="0.25">
      <c r="A22" s="104" t="s">
        <v>120</v>
      </c>
      <c r="B22" s="106" t="s">
        <v>169</v>
      </c>
      <c r="C22" s="107">
        <v>1</v>
      </c>
      <c r="D22" s="108">
        <v>0.6911331174785933</v>
      </c>
      <c r="E22" s="66"/>
      <c r="J22" s="140" t="s">
        <v>173</v>
      </c>
      <c r="K22" s="140"/>
      <c r="L22" s="140"/>
      <c r="M22" s="140"/>
      <c r="N22" s="140"/>
      <c r="O22" s="140"/>
      <c r="P22" s="140"/>
      <c r="Q22" s="140"/>
      <c r="R22" s="140"/>
      <c r="S22" s="140"/>
    </row>
    <row r="23" spans="1:19" ht="38.25" x14ac:dyDescent="0.25">
      <c r="A23" s="103" t="s">
        <v>121</v>
      </c>
      <c r="B23" s="108">
        <v>0.15754063564712228</v>
      </c>
      <c r="C23" s="107">
        <v>1</v>
      </c>
      <c r="D23" s="108">
        <v>0.69143096144115501</v>
      </c>
      <c r="E23" s="66"/>
    </row>
    <row r="24" spans="1:19" ht="38.25" x14ac:dyDescent="0.25">
      <c r="A24" s="103" t="s">
        <v>122</v>
      </c>
      <c r="B24" s="108">
        <v>0.15628282563025236</v>
      </c>
      <c r="C24" s="107">
        <v>1</v>
      </c>
      <c r="D24" s="108">
        <v>0.6926021462475207</v>
      </c>
      <c r="E24" s="66"/>
    </row>
    <row r="25" spans="1:19" ht="38.25" x14ac:dyDescent="0.25">
      <c r="A25" s="103" t="s">
        <v>123</v>
      </c>
      <c r="B25" s="107">
        <v>100</v>
      </c>
      <c r="C25" s="109"/>
      <c r="D25" s="110"/>
      <c r="E25" s="66"/>
    </row>
    <row r="26" spans="1:19" x14ac:dyDescent="0.25">
      <c r="A26" s="143" t="s">
        <v>168</v>
      </c>
      <c r="B26" s="143"/>
      <c r="C26" s="144"/>
      <c r="D26" s="144"/>
      <c r="E26" s="66"/>
    </row>
    <row r="27" spans="1:19" x14ac:dyDescent="0.25">
      <c r="A27" s="143" t="s">
        <v>155</v>
      </c>
      <c r="B27" s="143"/>
      <c r="C27" s="143"/>
      <c r="D27" s="143"/>
      <c r="E27" s="66"/>
    </row>
  </sheetData>
  <mergeCells count="38">
    <mergeCell ref="T14:Z14"/>
    <mergeCell ref="T4:T5"/>
    <mergeCell ref="U4:U5"/>
    <mergeCell ref="V4:V5"/>
    <mergeCell ref="W4:W5"/>
    <mergeCell ref="Z4:Z5"/>
    <mergeCell ref="Y4:Y5"/>
    <mergeCell ref="X4:X5"/>
    <mergeCell ref="P4:P5"/>
    <mergeCell ref="Q4:R4"/>
    <mergeCell ref="J12:R12"/>
    <mergeCell ref="J3:R3"/>
    <mergeCell ref="J4:J5"/>
    <mergeCell ref="K4:K5"/>
    <mergeCell ref="L4:L5"/>
    <mergeCell ref="M4:M5"/>
    <mergeCell ref="N4:N5"/>
    <mergeCell ref="B9:D9"/>
    <mergeCell ref="A20:D20"/>
    <mergeCell ref="A26:D26"/>
    <mergeCell ref="A27:D27"/>
    <mergeCell ref="O4:O5"/>
    <mergeCell ref="A7:B7"/>
    <mergeCell ref="A16:D16"/>
    <mergeCell ref="A17:D17"/>
    <mergeCell ref="A3:B4"/>
    <mergeCell ref="C3:D3"/>
    <mergeCell ref="A5:A6"/>
    <mergeCell ref="P14:P15"/>
    <mergeCell ref="Q14:Q15"/>
    <mergeCell ref="R14:S14"/>
    <mergeCell ref="J16:J21"/>
    <mergeCell ref="J22:S22"/>
    <mergeCell ref="K14:K15"/>
    <mergeCell ref="L14:L15"/>
    <mergeCell ref="M14:M15"/>
    <mergeCell ref="N14:N15"/>
    <mergeCell ref="O14:O1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EB453-CD5B-4956-8B4C-2C7488A913C9}">
  <dimension ref="A1"/>
  <sheetViews>
    <sheetView workbookViewId="0">
      <selection activeCell="K5" sqref="K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E76D-5CF4-4595-9344-D89759BA11DC}">
  <dimension ref="A1:G13"/>
  <sheetViews>
    <sheetView workbookViewId="0">
      <selection activeCell="E9" sqref="E9"/>
    </sheetView>
  </sheetViews>
  <sheetFormatPr baseColWidth="10" defaultRowHeight="15" x14ac:dyDescent="0.25"/>
  <cols>
    <col min="3" max="3" width="14.28515625" customWidth="1"/>
    <col min="4" max="4" width="14.7109375" customWidth="1"/>
    <col min="5" max="5" width="21.28515625" customWidth="1"/>
    <col min="6" max="6" width="20" customWidth="1"/>
  </cols>
  <sheetData>
    <row r="1" spans="1:7" ht="15.75" x14ac:dyDescent="0.25">
      <c r="A1" s="152" t="s">
        <v>66</v>
      </c>
      <c r="B1" s="152"/>
      <c r="C1" s="152"/>
      <c r="D1" s="152"/>
      <c r="E1" s="152"/>
      <c r="F1" s="152"/>
      <c r="G1" s="17"/>
    </row>
    <row r="2" spans="1:7" ht="31.5" x14ac:dyDescent="0.25">
      <c r="A2" s="153" t="s">
        <v>65</v>
      </c>
      <c r="B2" s="153"/>
      <c r="C2" s="18" t="s">
        <v>77</v>
      </c>
      <c r="D2" s="18" t="s">
        <v>45</v>
      </c>
      <c r="E2" s="18" t="s">
        <v>78</v>
      </c>
      <c r="F2" s="18" t="s">
        <v>79</v>
      </c>
      <c r="G2" s="17"/>
    </row>
    <row r="3" spans="1:7" ht="15.75" x14ac:dyDescent="0.25">
      <c r="A3" s="154" t="s">
        <v>80</v>
      </c>
      <c r="B3" s="18" t="s">
        <v>67</v>
      </c>
      <c r="C3" s="19">
        <v>16</v>
      </c>
      <c r="D3" s="20">
        <v>16</v>
      </c>
      <c r="E3" s="20">
        <v>16</v>
      </c>
      <c r="F3" s="20">
        <v>16</v>
      </c>
      <c r="G3" s="17"/>
    </row>
    <row r="4" spans="1:7" ht="31.5" x14ac:dyDescent="0.25">
      <c r="A4" s="154"/>
      <c r="B4" s="18" t="s">
        <v>68</v>
      </c>
      <c r="C4" s="19">
        <v>9</v>
      </c>
      <c r="D4" s="20">
        <v>9</v>
      </c>
      <c r="E4" s="20">
        <v>9</v>
      </c>
      <c r="F4" s="20">
        <v>25</v>
      </c>
      <c r="G4" s="17"/>
    </row>
    <row r="5" spans="1:7" ht="15.75" x14ac:dyDescent="0.25">
      <c r="A5" s="154"/>
      <c r="B5" s="18" t="s">
        <v>69</v>
      </c>
      <c r="C5" s="19">
        <v>11</v>
      </c>
      <c r="D5" s="20">
        <v>11</v>
      </c>
      <c r="E5" s="20">
        <v>11</v>
      </c>
      <c r="F5" s="20">
        <v>36</v>
      </c>
      <c r="G5" s="17"/>
    </row>
    <row r="6" spans="1:7" ht="15.75" x14ac:dyDescent="0.25">
      <c r="A6" s="154"/>
      <c r="B6" s="18" t="s">
        <v>70</v>
      </c>
      <c r="C6" s="19">
        <v>7</v>
      </c>
      <c r="D6" s="20">
        <v>7.0000000000000009</v>
      </c>
      <c r="E6" s="20">
        <v>7.0000000000000009</v>
      </c>
      <c r="F6" s="20">
        <v>43</v>
      </c>
      <c r="G6" s="17"/>
    </row>
    <row r="7" spans="1:7" ht="15.75" x14ac:dyDescent="0.25">
      <c r="A7" s="154"/>
      <c r="B7" s="18" t="s">
        <v>71</v>
      </c>
      <c r="C7" s="19">
        <v>11</v>
      </c>
      <c r="D7" s="20">
        <v>11</v>
      </c>
      <c r="E7" s="20">
        <v>11</v>
      </c>
      <c r="F7" s="20">
        <v>54</v>
      </c>
      <c r="G7" s="17"/>
    </row>
    <row r="8" spans="1:7" ht="15.75" x14ac:dyDescent="0.25">
      <c r="A8" s="154"/>
      <c r="B8" s="18" t="s">
        <v>72</v>
      </c>
      <c r="C8" s="19">
        <v>10</v>
      </c>
      <c r="D8" s="20">
        <v>10</v>
      </c>
      <c r="E8" s="20">
        <v>10</v>
      </c>
      <c r="F8" s="20">
        <v>64</v>
      </c>
      <c r="G8" s="17"/>
    </row>
    <row r="9" spans="1:7" ht="15.75" x14ac:dyDescent="0.25">
      <c r="A9" s="154"/>
      <c r="B9" s="18" t="s">
        <v>73</v>
      </c>
      <c r="C9" s="19">
        <v>13</v>
      </c>
      <c r="D9" s="20">
        <v>13</v>
      </c>
      <c r="E9" s="20">
        <v>13</v>
      </c>
      <c r="F9" s="20">
        <v>77</v>
      </c>
      <c r="G9" s="17"/>
    </row>
    <row r="10" spans="1:7" ht="31.5" x14ac:dyDescent="0.25">
      <c r="A10" s="154"/>
      <c r="B10" s="18" t="s">
        <v>74</v>
      </c>
      <c r="C10" s="19">
        <v>10</v>
      </c>
      <c r="D10" s="20">
        <v>10</v>
      </c>
      <c r="E10" s="20">
        <v>10</v>
      </c>
      <c r="F10" s="20">
        <v>87</v>
      </c>
      <c r="G10" s="17"/>
    </row>
    <row r="11" spans="1:7" ht="15.75" x14ac:dyDescent="0.25">
      <c r="A11" s="154"/>
      <c r="B11" s="18" t="s">
        <v>75</v>
      </c>
      <c r="C11" s="19">
        <v>7</v>
      </c>
      <c r="D11" s="20">
        <v>7.0000000000000009</v>
      </c>
      <c r="E11" s="20">
        <v>7.0000000000000009</v>
      </c>
      <c r="F11" s="20">
        <v>94</v>
      </c>
      <c r="G11" s="17"/>
    </row>
    <row r="12" spans="1:7" ht="15.75" x14ac:dyDescent="0.25">
      <c r="A12" s="154"/>
      <c r="B12" s="18" t="s">
        <v>76</v>
      </c>
      <c r="C12" s="19">
        <v>6</v>
      </c>
      <c r="D12" s="20">
        <v>6</v>
      </c>
      <c r="E12" s="20">
        <v>6</v>
      </c>
      <c r="F12" s="20">
        <v>100</v>
      </c>
      <c r="G12" s="17"/>
    </row>
    <row r="13" spans="1:7" ht="15.75" x14ac:dyDescent="0.25">
      <c r="A13" s="154"/>
      <c r="B13" s="18" t="s">
        <v>63</v>
      </c>
      <c r="C13" s="19">
        <v>100</v>
      </c>
      <c r="D13" s="20">
        <v>100</v>
      </c>
      <c r="E13" s="20">
        <v>100</v>
      </c>
      <c r="F13" s="21"/>
      <c r="G13" s="17"/>
    </row>
  </sheetData>
  <mergeCells count="3">
    <mergeCell ref="A1:F1"/>
    <mergeCell ref="A2:B2"/>
    <mergeCell ref="A3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Feuil1</vt:lpstr>
      <vt:lpstr>Feuil2</vt:lpstr>
      <vt:lpstr>Feuil4</vt:lpstr>
      <vt:lpstr>Feuil3</vt:lpstr>
      <vt:lpstr>Feuil5</vt:lpstr>
      <vt:lpstr>Nawa et Trinité</vt:lpstr>
      <vt:lpstr>Feuil6</vt:lpstr>
      <vt:lpstr>Feuil9</vt:lpstr>
      <vt:lpstr>Feuil7</vt:lpstr>
      <vt:lpstr>Feuil8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Djorod</cp:lastModifiedBy>
  <dcterms:created xsi:type="dcterms:W3CDTF">2011-08-01T14:22:18Z</dcterms:created>
  <dcterms:modified xsi:type="dcterms:W3CDTF">2025-07-04T11:52:07Z</dcterms:modified>
</cp:coreProperties>
</file>